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iarag\Downloads\"/>
    </mc:Choice>
  </mc:AlternateContent>
  <xr:revisionPtr revIDLastSave="0" documentId="8_{6E4358B4-BDB9-4184-8A65-D226B205E8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vin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2" i="1"/>
</calcChain>
</file>

<file path=xl/sharedStrings.xml><?xml version="1.0" encoding="utf-8"?>
<sst xmlns="http://schemas.openxmlformats.org/spreadsheetml/2006/main" count="37" uniqueCount="37">
  <si>
    <t>PERIOD</t>
  </si>
  <si>
    <t>INÍCIO</t>
  </si>
  <si>
    <t>DURAÇÃO</t>
  </si>
  <si>
    <t>OBJETIVO(Bruto) ($)</t>
  </si>
  <si>
    <t>OBJETIVO(Bruto)+ ($)</t>
  </si>
  <si>
    <t>OBJETIVO(NPV) ($)</t>
  </si>
  <si>
    <t>OBJETIVO(NPV)+ ($)</t>
  </si>
  <si>
    <t>Cu_MIN (%)</t>
  </si>
  <si>
    <t>Cu_MAX (%)</t>
  </si>
  <si>
    <t>Cu_CURRENT (%)</t>
  </si>
  <si>
    <t>Au_MIN (g/t)</t>
  </si>
  <si>
    <t>Au_MAX (g/t)</t>
  </si>
  <si>
    <t>Au_CURRENT (g/t)</t>
  </si>
  <si>
    <t>Massa_MIN (t)</t>
  </si>
  <si>
    <t>Massa_MAX (t)</t>
  </si>
  <si>
    <t>Massa_CURRENT (t)</t>
  </si>
  <si>
    <t>Tempo_MIN (h)</t>
  </si>
  <si>
    <t>Tempo_MAX (h)</t>
  </si>
  <si>
    <t>Tempo_CURRENT (h)</t>
  </si>
  <si>
    <t>Massa de Minério_MIN (t)</t>
  </si>
  <si>
    <t>Massa de Minério_MAX (t)</t>
  </si>
  <si>
    <t>Massa de Minério_CURRENT (t)</t>
  </si>
  <si>
    <t>Teor do Minério - weighted-mean</t>
  </si>
  <si>
    <t>Volume - sum (m³)</t>
  </si>
  <si>
    <t>Massa de Estéril - sum (t)</t>
  </si>
  <si>
    <t>Volume de Minério - sum (m³)</t>
  </si>
  <si>
    <t>Volume de Estéril - sum (m³)</t>
  </si>
  <si>
    <t>Densidade - weighted-mean (t/m³)</t>
  </si>
  <si>
    <t>VEB - sum ($)</t>
  </si>
  <si>
    <t>Massa_Au - sum (g)</t>
  </si>
  <si>
    <t>Massa_Cu - sum (t)</t>
  </si>
  <si>
    <t>Cost_mi - sum ($)</t>
  </si>
  <si>
    <t>Cost_usi - sum ($)</t>
  </si>
  <si>
    <t>Massa_Au - sum (t)</t>
  </si>
  <si>
    <t>Massa de Minério_CURRENT (Mt)</t>
  </si>
  <si>
    <t>Massa de Estéril - sum (Mt)</t>
  </si>
  <si>
    <t>Tempo_CURRENT ( milhares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</si>
</sst>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1" applyFont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164" fontId="0" fillId="0" borderId="3" xfId="1" applyFont="1" applyBorder="1" applyAlignment="1">
      <alignment horizontal="center" vertical="center"/>
    </xf>
    <xf numFmtId="164" fontId="0" fillId="0" borderId="4" xfId="1" applyFont="1" applyBorder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164" fontId="0" fillId="0" borderId="6" xfId="1" applyFont="1" applyBorder="1" applyAlignment="1">
      <alignment horizontal="center" vertical="center"/>
    </xf>
    <xf numFmtId="164" fontId="0" fillId="0" borderId="7" xfId="1" applyFont="1" applyBorder="1" applyAlignment="1">
      <alignment horizontal="center" vertical="center"/>
    </xf>
    <xf numFmtId="164" fontId="0" fillId="0" borderId="8" xfId="1" applyFont="1" applyBorder="1" applyAlignment="1">
      <alignment horizontal="center" vertical="center"/>
    </xf>
    <xf numFmtId="164" fontId="0" fillId="0" borderId="9" xfId="1" applyFont="1" applyBorder="1" applyAlignment="1">
      <alignment horizontal="center" vertical="center"/>
    </xf>
    <xf numFmtId="164" fontId="0" fillId="0" borderId="10" xfId="1" applyFon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/>
    </xf>
    <xf numFmtId="164" fontId="0" fillId="0" borderId="12" xfId="1" applyFont="1" applyBorder="1" applyAlignment="1">
      <alignment horizontal="center" vertical="center"/>
    </xf>
    <xf numFmtId="164" fontId="0" fillId="0" borderId="13" xfId="1" applyFont="1" applyBorder="1" applyAlignment="1">
      <alignment horizontal="center" vertical="center"/>
    </xf>
    <xf numFmtId="164" fontId="0" fillId="0" borderId="14" xfId="1" applyFont="1" applyBorder="1" applyAlignment="1">
      <alignment horizontal="center" vertical="center"/>
    </xf>
    <xf numFmtId="164" fontId="0" fillId="0" borderId="15" xfId="1" applyFont="1" applyBorder="1" applyAlignment="1">
      <alignment horizontal="center" vertical="center"/>
    </xf>
    <xf numFmtId="164" fontId="0" fillId="0" borderId="16" xfId="1" applyFont="1" applyBorder="1" applyAlignment="1">
      <alignment horizontal="center" vertical="center"/>
    </xf>
    <xf numFmtId="164" fontId="0" fillId="0" borderId="17" xfId="1" applyFont="1" applyBorder="1" applyAlignment="1">
      <alignment horizontal="center" vertical="center"/>
    </xf>
    <xf numFmtId="164" fontId="0" fillId="0" borderId="18" xfId="1" applyFont="1" applyBorder="1" applyAlignment="1">
      <alignment horizontal="center" vertical="center"/>
    </xf>
    <xf numFmtId="164" fontId="0" fillId="0" borderId="19" xfId="1" applyFont="1" applyBorder="1" applyAlignment="1">
      <alignment horizontal="center" vertical="center"/>
    </xf>
    <xf numFmtId="164" fontId="0" fillId="0" borderId="20" xfId="1" applyFont="1" applyBorder="1" applyAlignment="1">
      <alignment horizontal="center" vertical="center"/>
    </xf>
    <xf numFmtId="164" fontId="0" fillId="0" borderId="21" xfId="1" applyFont="1" applyBorder="1" applyAlignment="1">
      <alignment horizontal="center" vertical="center"/>
    </xf>
    <xf numFmtId="164" fontId="0" fillId="0" borderId="22" xfId="1" applyFont="1" applyBorder="1" applyAlignment="1">
      <alignment horizontal="center" vertical="center"/>
    </xf>
    <xf numFmtId="164" fontId="0" fillId="0" borderId="23" xfId="1" applyFont="1" applyBorder="1" applyAlignment="1">
      <alignment horizontal="center" vertical="center"/>
    </xf>
    <xf numFmtId="164" fontId="0" fillId="0" borderId="24" xfId="1" applyFont="1" applyBorder="1" applyAlignment="1">
      <alignment horizontal="center" vertical="center"/>
    </xf>
    <xf numFmtId="164" fontId="0" fillId="0" borderId="25" xfId="1" applyFont="1" applyBorder="1" applyAlignment="1">
      <alignment horizontal="center" vertical="center"/>
    </xf>
    <xf numFmtId="164" fontId="0" fillId="0" borderId="26" xfId="1" applyFont="1" applyBorder="1" applyAlignment="1">
      <alignment horizontal="center" vertical="center"/>
    </xf>
    <xf numFmtId="164" fontId="0" fillId="0" borderId="27" xfId="1" applyFont="1" applyBorder="1" applyAlignment="1">
      <alignment horizontal="center" vertical="center"/>
    </xf>
    <xf numFmtId="164" fontId="0" fillId="0" borderId="28" xfId="1" applyFont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164" fontId="0" fillId="0" borderId="0" xfId="1" applyFont="1" applyAlignment="1">
      <alignment horizontal="center" vertical="center" wrapText="1"/>
    </xf>
    <xf numFmtId="14" fontId="0" fillId="0" borderId="0" xfId="1" applyNumberFormat="1" applyFont="1" applyAlignment="1">
      <alignment horizontal="center" vertical="center" wrapText="1"/>
    </xf>
    <xf numFmtId="164" fontId="1" fillId="0" borderId="0" xfId="1" applyFont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C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1"/>
          <c:order val="1"/>
          <c:tx>
            <c:v>Massa minério (Mt)</c:v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1581-4F23-B754-73B205F9698C}"/>
              </c:ext>
            </c:extLst>
          </c:dPt>
          <c:dPt>
            <c:idx val="1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1581-4F23-B754-73B205F9698C}"/>
              </c:ext>
            </c:extLst>
          </c:dPt>
          <c:dPt>
            <c:idx val="1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1581-4F23-B754-73B205F9698C}"/>
              </c:ext>
            </c:extLst>
          </c:dPt>
          <c:dPt>
            <c:idx val="2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1581-4F23-B754-73B205F9698C}"/>
              </c:ext>
            </c:extLst>
          </c:dPt>
          <c:cat>
            <c:numRef>
              <c:f>'[1]Página1 (2)'!$A$2:$A$31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marvin!$Z$2:$Z$31</c:f>
              <c:numCache>
                <c:formatCode>_-* #,##0.00_-;\-* #,##0.00_-;_-* "-"??_-;_-@_-</c:formatCode>
                <c:ptCount val="30"/>
                <c:pt idx="0">
                  <c:v>14.996056877999996</c:v>
                </c:pt>
                <c:pt idx="1">
                  <c:v>14.992757306999996</c:v>
                </c:pt>
                <c:pt idx="2">
                  <c:v>14.983483598999998</c:v>
                </c:pt>
                <c:pt idx="3">
                  <c:v>14.584420124999998</c:v>
                </c:pt>
                <c:pt idx="4">
                  <c:v>14.999368178999999</c:v>
                </c:pt>
                <c:pt idx="5">
                  <c:v>14.835865109999999</c:v>
                </c:pt>
                <c:pt idx="6">
                  <c:v>14.950193729999999</c:v>
                </c:pt>
                <c:pt idx="7">
                  <c:v>14.99413554</c:v>
                </c:pt>
                <c:pt idx="8">
                  <c:v>13.932112439999999</c:v>
                </c:pt>
                <c:pt idx="9">
                  <c:v>14.884003109999997</c:v>
                </c:pt>
                <c:pt idx="10">
                  <c:v>14.938324859999994</c:v>
                </c:pt>
                <c:pt idx="11">
                  <c:v>14.501644169999993</c:v>
                </c:pt>
                <c:pt idx="12">
                  <c:v>14.685895199999999</c:v>
                </c:pt>
                <c:pt idx="13">
                  <c:v>14.776704959999945</c:v>
                </c:pt>
                <c:pt idx="14">
                  <c:v>14.928465809999999</c:v>
                </c:pt>
                <c:pt idx="15">
                  <c:v>14.826778469999979</c:v>
                </c:pt>
                <c:pt idx="16">
                  <c:v>14.982432929999961</c:v>
                </c:pt>
                <c:pt idx="17">
                  <c:v>14.523112260000001</c:v>
                </c:pt>
                <c:pt idx="18">
                  <c:v>14.777114249999995</c:v>
                </c:pt>
                <c:pt idx="19">
                  <c:v>14.30452893</c:v>
                </c:pt>
                <c:pt idx="20">
                  <c:v>14.67370511999993</c:v>
                </c:pt>
                <c:pt idx="21">
                  <c:v>14.72327117999999</c:v>
                </c:pt>
                <c:pt idx="22">
                  <c:v>14.443711469999993</c:v>
                </c:pt>
                <c:pt idx="23">
                  <c:v>13.884962939999948</c:v>
                </c:pt>
                <c:pt idx="24">
                  <c:v>14.532303089999969</c:v>
                </c:pt>
                <c:pt idx="25">
                  <c:v>14.528150519999997</c:v>
                </c:pt>
                <c:pt idx="26">
                  <c:v>14.908146119999966</c:v>
                </c:pt>
                <c:pt idx="27">
                  <c:v>14.547483629999878</c:v>
                </c:pt>
                <c:pt idx="28">
                  <c:v>14.948200619999993</c:v>
                </c:pt>
                <c:pt idx="29">
                  <c:v>14.627613629999825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581-4F23-B754-73B205F9698C}"/>
            </c:ext>
          </c:extLst>
        </c:ser>
        <c:ser>
          <c:idx val="3"/>
          <c:order val="3"/>
          <c:tx>
            <c:v>Massa estéril (Mt)</c:v>
          </c:tx>
          <c:spPr>
            <a:solidFill>
              <a:schemeClr val="tx2">
                <a:lumMod val="90000"/>
                <a:lumOff val="10000"/>
              </a:schemeClr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marvin!$AE$2:$AE$31</c:f>
              <c:numCache>
                <c:formatCode>_-* #,##0.00_-;\-* #,##0.00_-;_-* "-"??_-;_-@_-</c:formatCode>
                <c:ptCount val="30"/>
                <c:pt idx="0">
                  <c:v>15.997414285967993</c:v>
                </c:pt>
                <c:pt idx="1">
                  <c:v>16.001549927477971</c:v>
                </c:pt>
                <c:pt idx="2">
                  <c:v>16.003337466270001</c:v>
                </c:pt>
                <c:pt idx="3">
                  <c:v>16.368888026999947</c:v>
                </c:pt>
                <c:pt idx="4">
                  <c:v>15.975856106999945</c:v>
                </c:pt>
                <c:pt idx="5">
                  <c:v>16.142188457099905</c:v>
                </c:pt>
                <c:pt idx="6">
                  <c:v>16.025356508999955</c:v>
                </c:pt>
                <c:pt idx="7">
                  <c:v>15.963194580839994</c:v>
                </c:pt>
                <c:pt idx="8">
                  <c:v>16.999090191599979</c:v>
                </c:pt>
                <c:pt idx="9">
                  <c:v>16.035652358999933</c:v>
                </c:pt>
                <c:pt idx="10">
                  <c:v>16.036423469999914</c:v>
                </c:pt>
                <c:pt idx="11">
                  <c:v>16.408579349999908</c:v>
                </c:pt>
                <c:pt idx="12">
                  <c:v>16.25882391</c:v>
                </c:pt>
                <c:pt idx="13">
                  <c:v>16.116023699999918</c:v>
                </c:pt>
                <c:pt idx="14">
                  <c:v>15.993623519999955</c:v>
                </c:pt>
                <c:pt idx="15">
                  <c:v>15.946023449999961</c:v>
                </c:pt>
                <c:pt idx="16">
                  <c:v>15.912075992999943</c:v>
                </c:pt>
                <c:pt idx="17">
                  <c:v>16.415224139999971</c:v>
                </c:pt>
                <c:pt idx="18">
                  <c:v>16.000423529999981</c:v>
                </c:pt>
                <c:pt idx="19">
                  <c:v>16.448876159999944</c:v>
                </c:pt>
                <c:pt idx="20">
                  <c:v>16.061623619999938</c:v>
                </c:pt>
                <c:pt idx="21">
                  <c:v>16.218023849999874</c:v>
                </c:pt>
                <c:pt idx="22">
                  <c:v>16.184023799999895</c:v>
                </c:pt>
                <c:pt idx="23">
                  <c:v>16.925224889999885</c:v>
                </c:pt>
                <c:pt idx="24">
                  <c:v>15.660423029999908</c:v>
                </c:pt>
                <c:pt idx="25">
                  <c:v>16.449224189999828</c:v>
                </c:pt>
                <c:pt idx="26">
                  <c:v>13.994420579999915</c:v>
                </c:pt>
                <c:pt idx="27">
                  <c:v>7.8880115999999276</c:v>
                </c:pt>
                <c:pt idx="28">
                  <c:v>6.854410079999929</c:v>
                </c:pt>
                <c:pt idx="29">
                  <c:v>5.9364087299999273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81-4F23-B754-73B205F96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axId val="982569394"/>
        <c:axId val="1453432188"/>
      </c:barChart>
      <c:lineChart>
        <c:grouping val="standard"/>
        <c:varyColors val="1"/>
        <c:ser>
          <c:idx val="0"/>
          <c:order val="0"/>
          <c:tx>
            <c:v>Teor Cu (%)</c:v>
          </c:tx>
          <c:spPr>
            <a:ln cmpd="sng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'[1]Página1 (2)'!$A$2:$A$31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marvin!$J$2:$J$31</c:f>
              <c:numCache>
                <c:formatCode>_-* #,##0.00_-;\-* #,##0.00_-;_-* "-"??_-;_-@_-</c:formatCode>
                <c:ptCount val="30"/>
                <c:pt idx="0">
                  <c:v>0.19473550412226606</c:v>
                </c:pt>
                <c:pt idx="1">
                  <c:v>0.27561477890480296</c:v>
                </c:pt>
                <c:pt idx="2">
                  <c:v>0.24900778749199226</c:v>
                </c:pt>
                <c:pt idx="3">
                  <c:v>0.30680221816766695</c:v>
                </c:pt>
                <c:pt idx="4">
                  <c:v>0.33938831566919703</c:v>
                </c:pt>
                <c:pt idx="5">
                  <c:v>0.34811616233790282</c:v>
                </c:pt>
                <c:pt idx="6">
                  <c:v>0.43588064484050698</c:v>
                </c:pt>
                <c:pt idx="7">
                  <c:v>0.46463768744673567</c:v>
                </c:pt>
                <c:pt idx="8">
                  <c:v>0.46022842338564607</c:v>
                </c:pt>
                <c:pt idx="9">
                  <c:v>0.44147865290755112</c:v>
                </c:pt>
                <c:pt idx="10">
                  <c:v>0.55246847064593574</c:v>
                </c:pt>
                <c:pt idx="11">
                  <c:v>0.5141964378476932</c:v>
                </c:pt>
                <c:pt idx="12">
                  <c:v>0.58433059022376843</c:v>
                </c:pt>
                <c:pt idx="13">
                  <c:v>0.50824857246712263</c:v>
                </c:pt>
                <c:pt idx="14">
                  <c:v>0.61570719986898892</c:v>
                </c:pt>
                <c:pt idx="15">
                  <c:v>0.49569288598355732</c:v>
                </c:pt>
                <c:pt idx="16">
                  <c:v>0.52941436661595942</c:v>
                </c:pt>
                <c:pt idx="17">
                  <c:v>0.49098907515337409</c:v>
                </c:pt>
                <c:pt idx="18">
                  <c:v>0.53625683391171708</c:v>
                </c:pt>
                <c:pt idx="19">
                  <c:v>0.49157460906830724</c:v>
                </c:pt>
                <c:pt idx="20">
                  <c:v>0.43890979030089322</c:v>
                </c:pt>
                <c:pt idx="21">
                  <c:v>0.47309385875705684</c:v>
                </c:pt>
                <c:pt idx="22">
                  <c:v>0.41724749039249637</c:v>
                </c:pt>
                <c:pt idx="23">
                  <c:v>0.44499881707886901</c:v>
                </c:pt>
                <c:pt idx="24">
                  <c:v>0.36648004722711747</c:v>
                </c:pt>
                <c:pt idx="25">
                  <c:v>0.36794653276000644</c:v>
                </c:pt>
                <c:pt idx="26">
                  <c:v>0.38751269587661791</c:v>
                </c:pt>
                <c:pt idx="27">
                  <c:v>0.37064312034210301</c:v>
                </c:pt>
                <c:pt idx="28">
                  <c:v>0.33527728514756655</c:v>
                </c:pt>
                <c:pt idx="29">
                  <c:v>0.25261995075516908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81-4F23-B754-73B205F9698C}"/>
            </c:ext>
          </c:extLst>
        </c:ser>
        <c:ser>
          <c:idx val="2"/>
          <c:order val="2"/>
          <c:tx>
            <c:v>Tempo processamento (h/10⁴)</c:v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'[1]Página1 (2)'!$A$2:$A$31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marvin!$V$2:$V$31</c:f>
              <c:numCache>
                <c:formatCode>_-* #,##0.00_-;\-* #,##0.00_-;_-* "-"??_-;_-@_-</c:formatCode>
                <c:ptCount val="30"/>
                <c:pt idx="0">
                  <c:v>0.78763669143460024</c:v>
                </c:pt>
                <c:pt idx="1">
                  <c:v>0.7878647719630999</c:v>
                </c:pt>
                <c:pt idx="2">
                  <c:v>0.78688028276500011</c:v>
                </c:pt>
                <c:pt idx="3">
                  <c:v>0.78809834545130009</c:v>
                </c:pt>
                <c:pt idx="4">
                  <c:v>0.78577027460490001</c:v>
                </c:pt>
                <c:pt idx="5">
                  <c:v>0.78794490950899987</c:v>
                </c:pt>
                <c:pt idx="6">
                  <c:v>0.78409800901900006</c:v>
                </c:pt>
                <c:pt idx="7">
                  <c:v>0.78543646249499988</c:v>
                </c:pt>
                <c:pt idx="8">
                  <c:v>0.78667109061999996</c:v>
                </c:pt>
                <c:pt idx="9">
                  <c:v>0.78366009583599971</c:v>
                </c:pt>
                <c:pt idx="10">
                  <c:v>0.78834473976600006</c:v>
                </c:pt>
                <c:pt idx="11">
                  <c:v>0.78799107275000013</c:v>
                </c:pt>
                <c:pt idx="12">
                  <c:v>0.78198629232200012</c:v>
                </c:pt>
                <c:pt idx="13">
                  <c:v>0.78767795395000006</c:v>
                </c:pt>
                <c:pt idx="14">
                  <c:v>0.77391623462800019</c:v>
                </c:pt>
                <c:pt idx="15">
                  <c:v>0.78734704832400004</c:v>
                </c:pt>
                <c:pt idx="16">
                  <c:v>0.77953289307600004</c:v>
                </c:pt>
                <c:pt idx="17">
                  <c:v>0.78601944673099977</c:v>
                </c:pt>
                <c:pt idx="18">
                  <c:v>0.78577003918300004</c:v>
                </c:pt>
                <c:pt idx="19">
                  <c:v>0.78772948920500008</c:v>
                </c:pt>
                <c:pt idx="20">
                  <c:v>0.77188912868000004</c:v>
                </c:pt>
                <c:pt idx="21">
                  <c:v>0.77033115308599998</c:v>
                </c:pt>
                <c:pt idx="22">
                  <c:v>0.77412709880200004</c:v>
                </c:pt>
                <c:pt idx="23">
                  <c:v>0.73888331987399991</c:v>
                </c:pt>
                <c:pt idx="24">
                  <c:v>0.78248355253200008</c:v>
                </c:pt>
                <c:pt idx="25">
                  <c:v>0.78282884436700007</c:v>
                </c:pt>
                <c:pt idx="26">
                  <c:v>0.78365282425300009</c:v>
                </c:pt>
                <c:pt idx="27">
                  <c:v>0.78730475412400014</c:v>
                </c:pt>
                <c:pt idx="28">
                  <c:v>0.7832737159369999</c:v>
                </c:pt>
                <c:pt idx="29">
                  <c:v>0.7782627989019999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81-4F23-B754-73B205F96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869694"/>
        <c:axId val="1688587738"/>
      </c:lineChart>
      <c:catAx>
        <c:axId val="982569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100"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53432188"/>
        <c:crosses val="autoZero"/>
        <c:auto val="1"/>
        <c:lblAlgn val="ctr"/>
        <c:lblOffset val="100"/>
        <c:noMultiLvlLbl val="1"/>
      </c:catAx>
      <c:valAx>
        <c:axId val="1453432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pt-BR" sz="1100" b="0"/>
                  <a:t>Massa (Mt)</a:t>
                </a:r>
              </a:p>
            </c:rich>
          </c:tx>
          <c:overlay val="0"/>
        </c:title>
        <c:numFmt formatCode="_-* #,##0.00_-;\-* #,##0.00_-;_-* &quot;-&quot;??_-;_-@_-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82569394"/>
        <c:crosses val="autoZero"/>
        <c:crossBetween val="between"/>
      </c:valAx>
      <c:catAx>
        <c:axId val="57186969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8587738"/>
        <c:crosses val="autoZero"/>
        <c:auto val="1"/>
        <c:lblAlgn val="ctr"/>
        <c:lblOffset val="100"/>
        <c:noMultiLvlLbl val="1"/>
      </c:catAx>
      <c:valAx>
        <c:axId val="16885877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1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sz="1100" b="0">
                    <a:solidFill>
                      <a:srgbClr val="000000"/>
                    </a:solidFill>
                    <a:latin typeface="+mn-lt"/>
                  </a:rPr>
                  <a:t>Tempo (h /10</a:t>
                </a:r>
                <a:r>
                  <a:rPr lang="pt-BR" sz="1100" b="0">
                    <a:solidFill>
                      <a:srgbClr val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⁴</a:t>
                </a:r>
                <a:r>
                  <a:rPr lang="pt-BR" sz="1100" b="0">
                    <a:solidFill>
                      <a:srgbClr val="000000"/>
                    </a:solidFill>
                    <a:latin typeface="+mn-lt"/>
                  </a:rPr>
                  <a:t>)   Teor Cu (%)</a:t>
                </a:r>
              </a:p>
            </c:rich>
          </c:tx>
          <c:overlay val="0"/>
        </c:title>
        <c:numFmt formatCode="_-* #,##0.00_-;\-* #,##0.00_-;_-* &quot;-&quot;??_-;_-@_-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71869694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0.17006541003505238"/>
          <c:y val="0.89016467247643882"/>
          <c:w val="0.62615930594160207"/>
          <c:h val="4.4314019149926137E-2"/>
        </c:manualLayout>
      </c:layout>
      <c:overlay val="0"/>
      <c:txPr>
        <a:bodyPr/>
        <a:lstStyle/>
        <a:p>
          <a:pPr lvl="0">
            <a:defRPr sz="1100"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35</xdr:row>
      <xdr:rowOff>13607</xdr:rowOff>
    </xdr:from>
    <xdr:ext cx="10749643" cy="5529943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586D165B-8775-4210-AFB4-6E61C9CE7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arag\Downloads\Cu.xlsx" TargetMode="External"/><Relationship Id="rId1" Type="http://schemas.openxmlformats.org/officeDocument/2006/relationships/externalLinkPath" Target="C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ina1 (2)"/>
      <sheetName val="Página1"/>
    </sheetNames>
    <sheetDataSet>
      <sheetData sheetId="0">
        <row r="1">
          <cell r="J1" t="str">
            <v>Massa_CURRENT (Mt)</v>
          </cell>
          <cell r="N1" t="str">
            <v>CU_CURRENT (%)</v>
          </cell>
          <cell r="S1" t="str">
            <v>Tempo_CURRENT (h)</v>
          </cell>
        </row>
        <row r="2">
          <cell r="A2">
            <v>1</v>
          </cell>
          <cell r="J2">
            <v>5.45479615</v>
          </cell>
          <cell r="N2">
            <v>0.19473550412226606</v>
          </cell>
          <cell r="S2">
            <v>0.78763669143460024</v>
          </cell>
        </row>
        <row r="3">
          <cell r="A3">
            <v>2</v>
          </cell>
          <cell r="J3">
            <v>5.1384927500000002</v>
          </cell>
          <cell r="N3">
            <v>0.27561477890480296</v>
          </cell>
          <cell r="S3">
            <v>0.7878647719630999</v>
          </cell>
        </row>
        <row r="4">
          <cell r="A4">
            <v>3</v>
          </cell>
          <cell r="J4">
            <v>5.4491526800000001</v>
          </cell>
          <cell r="N4">
            <v>0.24900778749199226</v>
          </cell>
          <cell r="S4">
            <v>0.78688028276500011</v>
          </cell>
        </row>
        <row r="5">
          <cell r="A5">
            <v>4</v>
          </cell>
          <cell r="J5">
            <v>6.24331689</v>
          </cell>
          <cell r="N5">
            <v>0.30680221816766695</v>
          </cell>
          <cell r="S5">
            <v>0.78809834545130009</v>
          </cell>
        </row>
        <row r="6">
          <cell r="A6">
            <v>5</v>
          </cell>
          <cell r="J6">
            <v>5.7051045499999997</v>
          </cell>
          <cell r="N6">
            <v>0.33938831566919703</v>
          </cell>
          <cell r="S6">
            <v>0.78577027460490001</v>
          </cell>
        </row>
        <row r="7">
          <cell r="A7">
            <v>6</v>
          </cell>
          <cell r="J7">
            <v>5.2513432199999999</v>
          </cell>
          <cell r="N7">
            <v>0.34811616233790282</v>
          </cell>
          <cell r="S7">
            <v>0.78794490950899987</v>
          </cell>
        </row>
        <row r="8">
          <cell r="A8">
            <v>7</v>
          </cell>
          <cell r="J8">
            <v>6.6106941700000004</v>
          </cell>
          <cell r="N8">
            <v>0.43588064484050698</v>
          </cell>
          <cell r="S8">
            <v>0.78409800901900006</v>
          </cell>
        </row>
        <row r="9">
          <cell r="A9">
            <v>8</v>
          </cell>
          <cell r="J9">
            <v>7.8304551600000005</v>
          </cell>
          <cell r="N9">
            <v>0.46463768744673567</v>
          </cell>
          <cell r="S9">
            <v>0.78543646249499988</v>
          </cell>
        </row>
        <row r="10">
          <cell r="A10">
            <v>9</v>
          </cell>
          <cell r="J10">
            <v>7.2485754599999996</v>
          </cell>
          <cell r="N10">
            <v>0.46022842338564607</v>
          </cell>
          <cell r="S10">
            <v>0.78667109061999996</v>
          </cell>
        </row>
        <row r="11">
          <cell r="A11">
            <v>10</v>
          </cell>
          <cell r="J11">
            <v>6.6848548399999999</v>
          </cell>
          <cell r="N11">
            <v>0.44147865290755112</v>
          </cell>
          <cell r="S11">
            <v>0.78366009583599971</v>
          </cell>
        </row>
        <row r="12">
          <cell r="A12">
            <v>11</v>
          </cell>
          <cell r="J12">
            <v>9.6704699900000008</v>
          </cell>
          <cell r="N12">
            <v>0.55246847064593574</v>
          </cell>
          <cell r="S12">
            <v>0.78834473976600006</v>
          </cell>
        </row>
        <row r="13">
          <cell r="A13">
            <v>12</v>
          </cell>
          <cell r="J13">
            <v>8.9018402200000004</v>
          </cell>
          <cell r="N13">
            <v>0.5141964378476932</v>
          </cell>
          <cell r="S13">
            <v>0.78799107275000013</v>
          </cell>
        </row>
        <row r="14">
          <cell r="A14">
            <v>13</v>
          </cell>
          <cell r="J14">
            <v>10.21924894</v>
          </cell>
          <cell r="N14">
            <v>0.58433059022376843</v>
          </cell>
          <cell r="S14">
            <v>0.78198629232200012</v>
          </cell>
        </row>
        <row r="15">
          <cell r="A15">
            <v>14</v>
          </cell>
          <cell r="J15">
            <v>9.6338914800000008</v>
          </cell>
          <cell r="N15">
            <v>0.50824857246712263</v>
          </cell>
          <cell r="S15">
            <v>0.78767795395000006</v>
          </cell>
        </row>
        <row r="16">
          <cell r="A16">
            <v>15</v>
          </cell>
          <cell r="J16">
            <v>10.996640320000001</v>
          </cell>
          <cell r="N16">
            <v>0.61570719986898892</v>
          </cell>
          <cell r="S16">
            <v>0.77391623462800019</v>
          </cell>
        </row>
        <row r="17">
          <cell r="A17">
            <v>16</v>
          </cell>
          <cell r="J17">
            <v>11.169435</v>
          </cell>
          <cell r="N17">
            <v>0.49569288598355732</v>
          </cell>
          <cell r="S17">
            <v>0.78734704832400004</v>
          </cell>
        </row>
        <row r="18">
          <cell r="A18">
            <v>17</v>
          </cell>
          <cell r="J18">
            <v>11.86657859</v>
          </cell>
          <cell r="N18">
            <v>0.52941436661595942</v>
          </cell>
          <cell r="S18">
            <v>0.77953289307600004</v>
          </cell>
        </row>
        <row r="19">
          <cell r="A19">
            <v>18</v>
          </cell>
          <cell r="J19">
            <v>12.13427435</v>
          </cell>
          <cell r="N19">
            <v>0.49098907515337409</v>
          </cell>
          <cell r="S19">
            <v>0.78601944673099977</v>
          </cell>
        </row>
        <row r="20">
          <cell r="A20">
            <v>19</v>
          </cell>
          <cell r="J20">
            <v>10.322127269999999</v>
          </cell>
          <cell r="N20">
            <v>0.53625683391171708</v>
          </cell>
          <cell r="S20">
            <v>0.78577003918300004</v>
          </cell>
        </row>
        <row r="21">
          <cell r="A21">
            <v>20</v>
          </cell>
          <cell r="J21">
            <v>12.025608099999999</v>
          </cell>
          <cell r="N21">
            <v>0.49157460906830724</v>
          </cell>
          <cell r="S21">
            <v>0.78772948920500008</v>
          </cell>
        </row>
        <row r="22">
          <cell r="A22">
            <v>21</v>
          </cell>
          <cell r="J22">
            <v>9.78558445</v>
          </cell>
          <cell r="N22">
            <v>0.43890979030089322</v>
          </cell>
          <cell r="S22">
            <v>0.77188912868000004</v>
          </cell>
        </row>
        <row r="23">
          <cell r="A23">
            <v>22</v>
          </cell>
          <cell r="J23">
            <v>11.82787523</v>
          </cell>
          <cell r="N23">
            <v>0.47309385875705684</v>
          </cell>
          <cell r="S23">
            <v>0.77033115308599998</v>
          </cell>
        </row>
        <row r="24">
          <cell r="A24">
            <v>23</v>
          </cell>
          <cell r="J24">
            <v>10.225886119999998</v>
          </cell>
          <cell r="N24">
            <v>0.41724749039249637</v>
          </cell>
          <cell r="S24">
            <v>0.77412709880200004</v>
          </cell>
        </row>
        <row r="25">
          <cell r="A25">
            <v>24</v>
          </cell>
          <cell r="J25">
            <v>10.47179249</v>
          </cell>
          <cell r="N25">
            <v>0.44499881707886901</v>
          </cell>
          <cell r="S25">
            <v>0.73888331987399991</v>
          </cell>
        </row>
        <row r="26">
          <cell r="A26">
            <v>25</v>
          </cell>
          <cell r="J26">
            <v>9.3295858200000001</v>
          </cell>
          <cell r="N26">
            <v>0.36648004722711747</v>
          </cell>
          <cell r="S26">
            <v>0.78248355253200008</v>
          </cell>
        </row>
        <row r="27">
          <cell r="A27">
            <v>26</v>
          </cell>
          <cell r="J27">
            <v>8.7994961800000002</v>
          </cell>
          <cell r="N27">
            <v>0.36794653276000644</v>
          </cell>
          <cell r="S27">
            <v>0.78282884436700007</v>
          </cell>
        </row>
        <row r="28">
          <cell r="A28">
            <v>27</v>
          </cell>
          <cell r="J28">
            <v>8.3728911500000009</v>
          </cell>
          <cell r="N28">
            <v>0.38751269587661791</v>
          </cell>
          <cell r="S28">
            <v>0.78365282425300009</v>
          </cell>
        </row>
        <row r="29">
          <cell r="A29">
            <v>28</v>
          </cell>
          <cell r="J29">
            <v>10.840495970000001</v>
          </cell>
          <cell r="N29">
            <v>0.37064312034210301</v>
          </cell>
          <cell r="S29">
            <v>0.78730475412400014</v>
          </cell>
        </row>
        <row r="30">
          <cell r="A30">
            <v>29</v>
          </cell>
          <cell r="J30">
            <v>13.516208189999999</v>
          </cell>
          <cell r="N30">
            <v>0.33527728514756655</v>
          </cell>
          <cell r="S30">
            <v>0.7832737159369999</v>
          </cell>
        </row>
        <row r="31">
          <cell r="A31">
            <v>30</v>
          </cell>
          <cell r="J31">
            <v>10.71803098</v>
          </cell>
          <cell r="N31">
            <v>0.25261995075516908</v>
          </cell>
          <cell r="S31">
            <v>0.7782627989019999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"/>
  <sheetViews>
    <sheetView tabSelected="1" zoomScale="70" zoomScaleNormal="70" workbookViewId="0">
      <selection activeCell="AF63" sqref="AF63"/>
    </sheetView>
  </sheetViews>
  <sheetFormatPr defaultRowHeight="15"/>
  <cols>
    <col min="1" max="1" width="9.28515625" style="1" bestFit="1" customWidth="1"/>
    <col min="2" max="2" width="10.7109375" style="29" bestFit="1" customWidth="1"/>
    <col min="3" max="3" width="9.28515625" style="1" hidden="1" customWidth="1"/>
    <col min="4" max="4" width="16.42578125" style="1" bestFit="1" customWidth="1"/>
    <col min="5" max="5" width="17.5703125" style="1" bestFit="1" customWidth="1"/>
    <col min="6" max="6" width="15" style="1" bestFit="1" customWidth="1"/>
    <col min="7" max="7" width="16.42578125" style="1" bestFit="1" customWidth="1"/>
    <col min="8" max="8" width="9.28515625" style="1" hidden="1" customWidth="1"/>
    <col min="9" max="9" width="0" style="1" hidden="1" customWidth="1"/>
    <col min="10" max="10" width="9.28515625" style="1" bestFit="1" customWidth="1"/>
    <col min="11" max="11" width="9.28515625" style="1" hidden="1" customWidth="1"/>
    <col min="12" max="12" width="0" style="1" hidden="1" customWidth="1"/>
    <col min="13" max="13" width="9.28515625" style="1" bestFit="1" customWidth="1"/>
    <col min="14" max="15" width="14" style="1" hidden="1" customWidth="1"/>
    <col min="16" max="16" width="14" style="1" bestFit="1" customWidth="1"/>
    <col min="17" max="17" width="9.28515625" style="1" hidden="1" customWidth="1"/>
    <col min="18" max="18" width="9.42578125" style="1" hidden="1" customWidth="1"/>
    <col min="19" max="19" width="9.42578125" style="1" bestFit="1" customWidth="1"/>
    <col min="20" max="20" width="9.28515625" style="1" hidden="1" customWidth="1"/>
    <col min="21" max="21" width="14" style="1" hidden="1" customWidth="1"/>
    <col min="22" max="22" width="14" style="1" customWidth="1"/>
    <col min="23" max="23" width="14" style="1" bestFit="1" customWidth="1"/>
    <col min="24" max="24" width="0" style="1" hidden="1" customWidth="1"/>
    <col min="25" max="25" width="14" style="1" hidden="1" customWidth="1"/>
    <col min="26" max="26" width="14" style="1" customWidth="1"/>
    <col min="27" max="27" width="14" style="1" bestFit="1" customWidth="1"/>
    <col min="28" max="28" width="12.85546875" style="1" hidden="1" customWidth="1"/>
    <col min="29" max="29" width="14" style="1" hidden="1" customWidth="1"/>
    <col min="30" max="30" width="9.28515625" style="1" hidden="1" customWidth="1"/>
    <col min="31" max="31" width="9.28515625" style="1" customWidth="1"/>
    <col min="32" max="32" width="16.42578125" style="1" bestFit="1" customWidth="1"/>
    <col min="33" max="33" width="18.5703125" style="1" bestFit="1" customWidth="1"/>
    <col min="34" max="34" width="18.5703125" style="1" customWidth="1"/>
    <col min="35" max="36" width="14" style="1" bestFit="1" customWidth="1"/>
    <col min="37" max="37" width="15" style="1" bestFit="1" customWidth="1"/>
    <col min="38" max="16384" width="9.140625" style="1"/>
  </cols>
  <sheetData>
    <row r="1" spans="1:37" s="31" customFormat="1" ht="90">
      <c r="A1" s="31" t="s">
        <v>0</v>
      </c>
      <c r="B1" s="32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3" t="s">
        <v>36</v>
      </c>
      <c r="W1" s="31" t="s">
        <v>21</v>
      </c>
      <c r="X1" s="31" t="s">
        <v>22</v>
      </c>
      <c r="Y1" s="31" t="s">
        <v>23</v>
      </c>
      <c r="Z1" s="33" t="s">
        <v>34</v>
      </c>
      <c r="AA1" s="31" t="s">
        <v>24</v>
      </c>
      <c r="AB1" s="31" t="s">
        <v>25</v>
      </c>
      <c r="AC1" s="31" t="s">
        <v>26</v>
      </c>
      <c r="AD1" s="31" t="s">
        <v>27</v>
      </c>
      <c r="AE1" s="33" t="s">
        <v>35</v>
      </c>
      <c r="AF1" s="31" t="s">
        <v>28</v>
      </c>
      <c r="AG1" s="31" t="s">
        <v>29</v>
      </c>
      <c r="AH1" s="33" t="s">
        <v>33</v>
      </c>
      <c r="AI1" s="31" t="s">
        <v>30</v>
      </c>
      <c r="AJ1" s="31" t="s">
        <v>31</v>
      </c>
      <c r="AK1" s="31" t="s">
        <v>32</v>
      </c>
    </row>
    <row r="2" spans="1:37">
      <c r="A2" s="1">
        <v>1</v>
      </c>
      <c r="B2" s="30">
        <v>45658.5</v>
      </c>
      <c r="C2" s="1">
        <v>365</v>
      </c>
      <c r="D2" s="2">
        <v>684056698.00306988</v>
      </c>
      <c r="E2" s="3">
        <v>684056698.00306988</v>
      </c>
      <c r="F2" s="4">
        <v>594831911.30701733</v>
      </c>
      <c r="G2" s="5">
        <v>594831911.30701733</v>
      </c>
      <c r="H2" s="6">
        <v>0</v>
      </c>
      <c r="J2" s="7">
        <v>0.19473550412226606</v>
      </c>
      <c r="K2" s="8">
        <v>0</v>
      </c>
      <c r="M2" s="9">
        <v>2.5149288196510761E-2</v>
      </c>
      <c r="N2" s="10">
        <v>20000000</v>
      </c>
      <c r="O2" s="11">
        <v>31000000</v>
      </c>
      <c r="P2" s="12">
        <v>30993471.163968034</v>
      </c>
      <c r="Q2" s="13">
        <v>0</v>
      </c>
      <c r="R2" s="14">
        <v>7884</v>
      </c>
      <c r="S2" s="15">
        <v>7876.366914346002</v>
      </c>
      <c r="T2" s="16">
        <v>0</v>
      </c>
      <c r="U2" s="17">
        <v>15000000</v>
      </c>
      <c r="V2" s="28">
        <f>S2/10000</f>
        <v>0.78763669143460024</v>
      </c>
      <c r="W2" s="18">
        <v>14996056.877999997</v>
      </c>
      <c r="Y2" s="19">
        <v>25184999.999999955</v>
      </c>
      <c r="Z2" s="28">
        <f>W2*10^-6</f>
        <v>14.996056877999996</v>
      </c>
      <c r="AA2" s="20">
        <v>15997414.285967994</v>
      </c>
      <c r="AB2" s="21">
        <v>9371999.9999999776</v>
      </c>
      <c r="AC2" s="22">
        <v>15812999.999999961</v>
      </c>
      <c r="AD2" s="23">
        <v>1.2306321685117367</v>
      </c>
      <c r="AE2" s="28">
        <f>AA2*10^-6</f>
        <v>15.997414285967993</v>
      </c>
      <c r="AF2" s="24">
        <v>684056698.00307012</v>
      </c>
      <c r="AG2" s="25">
        <v>64800000000</v>
      </c>
      <c r="AH2" s="28">
        <f>AG2/10^6</f>
        <v>64800</v>
      </c>
      <c r="AI2" s="26">
        <v>14931256.877999997</v>
      </c>
      <c r="AJ2" s="27">
        <v>86290553.793642163</v>
      </c>
      <c r="AK2" s="28">
        <v>176973364.86865997</v>
      </c>
    </row>
    <row r="3" spans="1:37">
      <c r="A3" s="1">
        <v>2</v>
      </c>
      <c r="B3" s="30">
        <v>46023.5</v>
      </c>
      <c r="C3" s="1">
        <v>365</v>
      </c>
      <c r="D3" s="2">
        <v>791233915.56067014</v>
      </c>
      <c r="E3" s="3">
        <v>1475290613.5637393</v>
      </c>
      <c r="F3" s="4">
        <v>598286514.60164082</v>
      </c>
      <c r="G3" s="5">
        <v>1193118425.9086585</v>
      </c>
      <c r="H3" s="6">
        <v>0</v>
      </c>
      <c r="J3" s="7">
        <v>0.27561477890480296</v>
      </c>
      <c r="K3" s="8">
        <v>0</v>
      </c>
      <c r="M3" s="9">
        <v>9.8381709250780477E-2</v>
      </c>
      <c r="N3" s="10">
        <v>20000000</v>
      </c>
      <c r="O3" s="11">
        <v>31000000</v>
      </c>
      <c r="P3" s="12">
        <v>30994307.234478056</v>
      </c>
      <c r="Q3" s="13">
        <v>0</v>
      </c>
      <c r="R3" s="14">
        <v>7884</v>
      </c>
      <c r="S3" s="15">
        <v>7878.6477196309988</v>
      </c>
      <c r="T3" s="16">
        <v>0</v>
      </c>
      <c r="U3" s="17">
        <v>15000000</v>
      </c>
      <c r="V3" s="28">
        <f t="shared" ref="V3:V31" si="0">S3/10000</f>
        <v>0.7878647719630999</v>
      </c>
      <c r="W3" s="18">
        <v>14992757.306999996</v>
      </c>
      <c r="Y3" s="19">
        <v>21767999.999999985</v>
      </c>
      <c r="Z3" s="28">
        <f t="shared" ref="Z3:Z31" si="1">W3*10^-6</f>
        <v>14.992757306999996</v>
      </c>
      <c r="AA3" s="20">
        <v>16001549.927477973</v>
      </c>
      <c r="AB3" s="21">
        <v>6234000</v>
      </c>
      <c r="AC3" s="22">
        <v>15533999.999999953</v>
      </c>
      <c r="AD3" s="23">
        <v>1.4238472636199042</v>
      </c>
      <c r="AE3" s="28">
        <f t="shared" ref="AE3:AE31" si="2">AA3*10^-6</f>
        <v>16.001549927477971</v>
      </c>
      <c r="AF3" s="24">
        <v>791233915.56067002</v>
      </c>
      <c r="AG3" s="25">
        <v>279043920000</v>
      </c>
      <c r="AH3" s="28">
        <f t="shared" ref="AH3:AH31" si="3">AG3/10^6</f>
        <v>279043.92</v>
      </c>
      <c r="AI3" s="26">
        <v>14713713.387000002</v>
      </c>
      <c r="AJ3" s="27">
        <v>85719023.392105833</v>
      </c>
      <c r="AK3" s="28">
        <v>176909826.11401999</v>
      </c>
    </row>
    <row r="4" spans="1:37">
      <c r="A4" s="1">
        <v>3</v>
      </c>
      <c r="B4" s="30">
        <v>46388.5</v>
      </c>
      <c r="C4" s="1">
        <v>365</v>
      </c>
      <c r="D4" s="2">
        <v>763695168.19833994</v>
      </c>
      <c r="E4" s="3">
        <v>2238985781.7620792</v>
      </c>
      <c r="F4" s="4">
        <v>502141969.72028601</v>
      </c>
      <c r="G4" s="5">
        <v>1695260395.6289446</v>
      </c>
      <c r="H4" s="6">
        <v>0</v>
      </c>
      <c r="J4" s="7">
        <v>0.24900778749199226</v>
      </c>
      <c r="K4" s="8">
        <v>0</v>
      </c>
      <c r="M4" s="9">
        <v>0.30803278778929793</v>
      </c>
      <c r="N4" s="10">
        <v>20000000</v>
      </c>
      <c r="O4" s="11">
        <v>31000000</v>
      </c>
      <c r="P4" s="12">
        <v>30986821.065270003</v>
      </c>
      <c r="Q4" s="13">
        <v>0</v>
      </c>
      <c r="R4" s="14">
        <v>7884</v>
      </c>
      <c r="S4" s="15">
        <v>7868.8028276500008</v>
      </c>
      <c r="T4" s="16">
        <v>0</v>
      </c>
      <c r="U4" s="17">
        <v>15000000</v>
      </c>
      <c r="V4" s="28">
        <f t="shared" si="0"/>
        <v>0.78688028276500011</v>
      </c>
      <c r="W4" s="18">
        <v>14983483.598999998</v>
      </c>
      <c r="Y4" s="19">
        <v>15618000</v>
      </c>
      <c r="Z4" s="28">
        <f t="shared" si="1"/>
        <v>14.983483598999998</v>
      </c>
      <c r="AA4" s="20">
        <v>16003337.466270002</v>
      </c>
      <c r="AB4" s="21">
        <v>6060000</v>
      </c>
      <c r="AC4" s="22">
        <v>9558000</v>
      </c>
      <c r="AD4" s="23">
        <v>1.9840454005167114</v>
      </c>
      <c r="AE4" s="28">
        <f t="shared" si="2"/>
        <v>16.003337466270001</v>
      </c>
      <c r="AF4" s="24">
        <v>763695168.19833994</v>
      </c>
      <c r="AG4" s="25">
        <v>62895960000.000008</v>
      </c>
      <c r="AH4" s="28">
        <f t="shared" si="3"/>
        <v>62895.960000000006</v>
      </c>
      <c r="AI4" s="26">
        <v>14920587.639</v>
      </c>
      <c r="AJ4" s="27">
        <v>86538276.123365715</v>
      </c>
      <c r="AK4" s="28">
        <v>176801267.19959998</v>
      </c>
    </row>
    <row r="5" spans="1:37">
      <c r="A5" s="1">
        <v>4</v>
      </c>
      <c r="B5" s="30">
        <v>46753.5</v>
      </c>
      <c r="C5" s="1">
        <v>365</v>
      </c>
      <c r="D5" s="2">
        <v>835957894.70960999</v>
      </c>
      <c r="E5" s="3">
        <v>3074943676.4716892</v>
      </c>
      <c r="F5" s="4">
        <v>477961639.47933882</v>
      </c>
      <c r="G5" s="5">
        <v>2173222035.1082835</v>
      </c>
      <c r="H5" s="6">
        <v>0</v>
      </c>
      <c r="J5" s="7">
        <v>0.30680221816766695</v>
      </c>
      <c r="K5" s="8">
        <v>0</v>
      </c>
      <c r="M5" s="9">
        <v>0.21711415606665557</v>
      </c>
      <c r="N5" s="10">
        <v>20000000</v>
      </c>
      <c r="O5" s="11">
        <v>31000000</v>
      </c>
      <c r="P5" s="12">
        <v>30953308.151999943</v>
      </c>
      <c r="Q5" s="13">
        <v>0</v>
      </c>
      <c r="R5" s="14">
        <v>7884</v>
      </c>
      <c r="S5" s="15">
        <v>7880.9834545130007</v>
      </c>
      <c r="T5" s="16">
        <v>0</v>
      </c>
      <c r="U5" s="17">
        <v>15000000</v>
      </c>
      <c r="V5" s="28">
        <f t="shared" si="0"/>
        <v>0.78809834545130009</v>
      </c>
      <c r="W5" s="18">
        <v>14584420.124999998</v>
      </c>
      <c r="Y5" s="19">
        <v>14993999.999999978</v>
      </c>
      <c r="Z5" s="28">
        <f t="shared" si="1"/>
        <v>14.584420124999998</v>
      </c>
      <c r="AA5" s="20">
        <v>16368888.026999947</v>
      </c>
      <c r="AB5" s="21">
        <v>5631000</v>
      </c>
      <c r="AC5" s="22">
        <v>9362999.9999999776</v>
      </c>
      <c r="AD5" s="23">
        <v>2.0643796286514604</v>
      </c>
      <c r="AE5" s="28">
        <f t="shared" si="2"/>
        <v>16.368888026999947</v>
      </c>
      <c r="AF5" s="24">
        <v>835957894.70961022</v>
      </c>
      <c r="AG5" s="25">
        <v>105490080000</v>
      </c>
      <c r="AH5" s="28">
        <f t="shared" si="3"/>
        <v>105490.08</v>
      </c>
      <c r="AI5" s="26">
        <v>14478930.044999998</v>
      </c>
      <c r="AJ5" s="27">
        <v>86043994.180339992</v>
      </c>
      <c r="AK5" s="28">
        <v>176792980.64960003</v>
      </c>
    </row>
    <row r="6" spans="1:37">
      <c r="A6" s="1">
        <v>5</v>
      </c>
      <c r="B6" s="30">
        <v>47118.5</v>
      </c>
      <c r="C6" s="1">
        <v>365</v>
      </c>
      <c r="D6" s="2">
        <v>800801426.86204004</v>
      </c>
      <c r="E6" s="3">
        <v>3875745103.3337293</v>
      </c>
      <c r="F6" s="4">
        <v>398139839.02948141</v>
      </c>
      <c r="G6" s="5">
        <v>2571361874.1377649</v>
      </c>
      <c r="H6" s="6">
        <v>0</v>
      </c>
      <c r="J6" s="7">
        <v>0.33938831566919703</v>
      </c>
      <c r="K6" s="8">
        <v>0</v>
      </c>
      <c r="M6" s="9">
        <v>4.1829995122529405E-2</v>
      </c>
      <c r="N6" s="10">
        <v>20000000</v>
      </c>
      <c r="O6" s="11">
        <v>31000000</v>
      </c>
      <c r="P6" s="12">
        <v>30975224.285999972</v>
      </c>
      <c r="Q6" s="13">
        <v>0</v>
      </c>
      <c r="R6" s="14">
        <v>7884</v>
      </c>
      <c r="S6" s="15">
        <v>7857.7027460489999</v>
      </c>
      <c r="T6" s="16">
        <v>0</v>
      </c>
      <c r="U6" s="17">
        <v>15000000</v>
      </c>
      <c r="V6" s="28">
        <f t="shared" si="0"/>
        <v>0.78577027460490001</v>
      </c>
      <c r="W6" s="18">
        <v>14999368.179</v>
      </c>
      <c r="Y6" s="19">
        <v>13721999.999999989</v>
      </c>
      <c r="Z6" s="28">
        <f t="shared" si="1"/>
        <v>14.999368178999999</v>
      </c>
      <c r="AA6" s="20">
        <v>15975856.106999947</v>
      </c>
      <c r="AB6" s="21">
        <v>6048000</v>
      </c>
      <c r="AC6" s="22">
        <v>7673999.9999999758</v>
      </c>
      <c r="AD6" s="23">
        <v>2.2573403502404896</v>
      </c>
      <c r="AE6" s="28">
        <f t="shared" si="2"/>
        <v>15.975856106999945</v>
      </c>
      <c r="AF6" s="24">
        <v>800801426.86203992</v>
      </c>
      <c r="AG6" s="25">
        <v>98219070000</v>
      </c>
      <c r="AH6" s="28">
        <f t="shared" si="3"/>
        <v>98219.07</v>
      </c>
      <c r="AI6" s="26">
        <v>14901149.108999999</v>
      </c>
      <c r="AJ6" s="27">
        <v>88603110.332410008</v>
      </c>
      <c r="AK6" s="28">
        <v>176312250.37729999</v>
      </c>
    </row>
    <row r="7" spans="1:37">
      <c r="A7" s="1">
        <v>6</v>
      </c>
      <c r="B7" s="30">
        <v>47483.5</v>
      </c>
      <c r="C7" s="1">
        <v>365</v>
      </c>
      <c r="D7" s="2">
        <v>867049549.20266998</v>
      </c>
      <c r="E7" s="3">
        <v>4742794652.5364008</v>
      </c>
      <c r="F7" s="4">
        <v>374849447.14298916</v>
      </c>
      <c r="G7" s="5">
        <v>2946211321.280755</v>
      </c>
      <c r="H7" s="6">
        <v>0</v>
      </c>
      <c r="J7" s="7">
        <v>0.34811616233790282</v>
      </c>
      <c r="K7" s="8">
        <v>0</v>
      </c>
      <c r="M7" s="9">
        <v>9.0125107611754823E-2</v>
      </c>
      <c r="N7" s="10">
        <v>20000000</v>
      </c>
      <c r="O7" s="11">
        <v>31000000</v>
      </c>
      <c r="P7" s="12">
        <v>30978053.567099933</v>
      </c>
      <c r="Q7" s="13">
        <v>0</v>
      </c>
      <c r="R7" s="14">
        <v>7884</v>
      </c>
      <c r="S7" s="15">
        <v>7879.449095089999</v>
      </c>
      <c r="T7" s="16">
        <v>0</v>
      </c>
      <c r="U7" s="17">
        <v>15000000</v>
      </c>
      <c r="V7" s="28">
        <f t="shared" si="0"/>
        <v>0.78794490950899987</v>
      </c>
      <c r="W7" s="18">
        <v>14835865.109999999</v>
      </c>
      <c r="Y7" s="19">
        <v>14498999.999999959</v>
      </c>
      <c r="Z7" s="28">
        <f t="shared" si="1"/>
        <v>14.835865109999999</v>
      </c>
      <c r="AA7" s="20">
        <v>16142188.457099907</v>
      </c>
      <c r="AB7" s="21">
        <v>5847000</v>
      </c>
      <c r="AC7" s="22">
        <v>8651999.9999999497</v>
      </c>
      <c r="AD7" s="23">
        <v>2.1365648366852898</v>
      </c>
      <c r="AE7" s="28">
        <f t="shared" si="2"/>
        <v>16.142188457099905</v>
      </c>
      <c r="AF7" s="24">
        <v>867049549.20266986</v>
      </c>
      <c r="AG7" s="25">
        <v>123360030000</v>
      </c>
      <c r="AH7" s="28">
        <f t="shared" si="3"/>
        <v>123360.03</v>
      </c>
      <c r="AI7" s="26">
        <v>14712505.079999998</v>
      </c>
      <c r="AJ7" s="27">
        <v>88157081.710250527</v>
      </c>
      <c r="AK7" s="28">
        <v>176751912.07550001</v>
      </c>
    </row>
    <row r="8" spans="1:37">
      <c r="A8" s="1">
        <v>7</v>
      </c>
      <c r="B8" s="30">
        <v>47848.5</v>
      </c>
      <c r="C8" s="1">
        <v>365</v>
      </c>
      <c r="D8" s="2">
        <v>926710777.61783004</v>
      </c>
      <c r="E8" s="3">
        <v>5669505430.1542301</v>
      </c>
      <c r="F8" s="4">
        <v>348384906.60247439</v>
      </c>
      <c r="G8" s="5">
        <v>3294596227.8832293</v>
      </c>
      <c r="H8" s="6">
        <v>0</v>
      </c>
      <c r="J8" s="7">
        <v>0.43588064484050698</v>
      </c>
      <c r="K8" s="8">
        <v>0</v>
      </c>
      <c r="M8" s="9">
        <v>0.20913218304246847</v>
      </c>
      <c r="N8" s="10">
        <v>20000000</v>
      </c>
      <c r="O8" s="11">
        <v>31000000</v>
      </c>
      <c r="P8" s="12">
        <v>30975550.238999955</v>
      </c>
      <c r="Q8" s="13">
        <v>0</v>
      </c>
      <c r="R8" s="14">
        <v>7884</v>
      </c>
      <c r="S8" s="15">
        <v>7840.9800901900007</v>
      </c>
      <c r="T8" s="16">
        <v>0</v>
      </c>
      <c r="U8" s="17">
        <v>15000000</v>
      </c>
      <c r="V8" s="28">
        <f t="shared" si="0"/>
        <v>0.78409800901900006</v>
      </c>
      <c r="W8" s="18">
        <v>14950193.729999999</v>
      </c>
      <c r="Y8" s="19">
        <v>13526999.999999981</v>
      </c>
      <c r="Z8" s="28">
        <f t="shared" si="1"/>
        <v>14.950193729999999</v>
      </c>
      <c r="AA8" s="20">
        <v>16025356.508999955</v>
      </c>
      <c r="AB8" s="21">
        <v>5718000</v>
      </c>
      <c r="AC8" s="22">
        <v>7808999.9999999814</v>
      </c>
      <c r="AD8" s="23">
        <v>2.289905392104679</v>
      </c>
      <c r="AE8" s="28">
        <f t="shared" si="2"/>
        <v>16.025356508999955</v>
      </c>
      <c r="AF8" s="24">
        <v>926710777.61783004</v>
      </c>
      <c r="AG8" s="25">
        <v>155018790000</v>
      </c>
      <c r="AH8" s="28">
        <f t="shared" si="3"/>
        <v>155018.79</v>
      </c>
      <c r="AI8" s="26">
        <v>14795174.940000001</v>
      </c>
      <c r="AJ8" s="27">
        <v>84284113.234783009</v>
      </c>
      <c r="AK8" s="28">
        <v>176345105.44349995</v>
      </c>
    </row>
    <row r="9" spans="1:37">
      <c r="A9" s="1">
        <v>8</v>
      </c>
      <c r="B9" s="30">
        <v>48213.5</v>
      </c>
      <c r="C9" s="1">
        <v>365</v>
      </c>
      <c r="D9" s="2">
        <v>926935215.37935984</v>
      </c>
      <c r="E9" s="3">
        <v>6596440645.5335894</v>
      </c>
      <c r="F9" s="4">
        <v>303016766.14799219</v>
      </c>
      <c r="G9" s="5">
        <v>3597612994.0312219</v>
      </c>
      <c r="H9" s="6">
        <v>0</v>
      </c>
      <c r="J9" s="7">
        <v>0.46463768744673567</v>
      </c>
      <c r="K9" s="8">
        <v>0</v>
      </c>
      <c r="M9" s="9">
        <v>0.10572355433454975</v>
      </c>
      <c r="N9" s="10">
        <v>20000000</v>
      </c>
      <c r="O9" s="11">
        <v>31000000</v>
      </c>
      <c r="P9" s="12">
        <v>30957330.120840006</v>
      </c>
      <c r="Q9" s="13">
        <v>0</v>
      </c>
      <c r="R9" s="14">
        <v>7884</v>
      </c>
      <c r="S9" s="15">
        <v>7854.3646249499989</v>
      </c>
      <c r="T9" s="16">
        <v>0</v>
      </c>
      <c r="U9" s="17">
        <v>15000000</v>
      </c>
      <c r="V9" s="28">
        <f t="shared" si="0"/>
        <v>0.78543646249499988</v>
      </c>
      <c r="W9" s="18">
        <v>14994135.540000001</v>
      </c>
      <c r="Y9" s="19">
        <v>14114999.999999985</v>
      </c>
      <c r="Z9" s="28">
        <f t="shared" si="1"/>
        <v>14.99413554</v>
      </c>
      <c r="AA9" s="20">
        <v>15963194.580839995</v>
      </c>
      <c r="AB9" s="21">
        <v>5715000</v>
      </c>
      <c r="AC9" s="22">
        <v>8399999.9999999795</v>
      </c>
      <c r="AD9" s="23">
        <v>2.1932221127056355</v>
      </c>
      <c r="AE9" s="28">
        <f t="shared" si="2"/>
        <v>15.963194580839994</v>
      </c>
      <c r="AF9" s="24">
        <v>926935215.37936008</v>
      </c>
      <c r="AG9" s="25">
        <v>267686640000</v>
      </c>
      <c r="AH9" s="28">
        <f t="shared" si="3"/>
        <v>267686.64</v>
      </c>
      <c r="AI9" s="26">
        <v>14726448.900000002</v>
      </c>
      <c r="AJ9" s="27">
        <v>83541184.901815563</v>
      </c>
      <c r="AK9" s="28">
        <v>175991919.32369998</v>
      </c>
    </row>
    <row r="10" spans="1:37">
      <c r="A10" s="1">
        <v>9</v>
      </c>
      <c r="B10" s="30">
        <v>48578.5</v>
      </c>
      <c r="C10" s="1">
        <v>365</v>
      </c>
      <c r="D10" s="2">
        <v>1020933498.7814199</v>
      </c>
      <c r="E10" s="3">
        <v>7617374144.315011</v>
      </c>
      <c r="F10" s="4">
        <v>290213018.8961916</v>
      </c>
      <c r="G10" s="5">
        <v>3887826012.9274144</v>
      </c>
      <c r="H10" s="6">
        <v>0</v>
      </c>
      <c r="J10" s="7">
        <v>0.46022842338564607</v>
      </c>
      <c r="K10" s="8">
        <v>0</v>
      </c>
      <c r="M10" s="9">
        <v>0.12259753930195315</v>
      </c>
      <c r="N10" s="10">
        <v>20000000</v>
      </c>
      <c r="O10" s="11">
        <v>31000000</v>
      </c>
      <c r="P10" s="12">
        <v>30931202.631599978</v>
      </c>
      <c r="Q10" s="13">
        <v>0</v>
      </c>
      <c r="R10" s="14">
        <v>7884</v>
      </c>
      <c r="S10" s="15">
        <v>7866.7109062</v>
      </c>
      <c r="T10" s="16">
        <v>0</v>
      </c>
      <c r="U10" s="17">
        <v>15000000</v>
      </c>
      <c r="V10" s="28">
        <f t="shared" si="0"/>
        <v>0.78667109061999996</v>
      </c>
      <c r="W10" s="18">
        <v>13932112.439999999</v>
      </c>
      <c r="Y10" s="19">
        <v>13547999.999999993</v>
      </c>
      <c r="Z10" s="28">
        <f t="shared" si="1"/>
        <v>13.932112439999999</v>
      </c>
      <c r="AA10" s="20">
        <v>16999090.19159998</v>
      </c>
      <c r="AB10" s="21">
        <v>5304000</v>
      </c>
      <c r="AC10" s="22">
        <v>8243999.9999999916</v>
      </c>
      <c r="AD10" s="23">
        <v>2.2830825680247999</v>
      </c>
      <c r="AE10" s="28">
        <f t="shared" si="2"/>
        <v>16.999090191599979</v>
      </c>
      <c r="AF10" s="24">
        <v>1020933498.78142</v>
      </c>
      <c r="AG10" s="25">
        <v>103083300000</v>
      </c>
      <c r="AH10" s="28">
        <f t="shared" si="3"/>
        <v>103083.3</v>
      </c>
      <c r="AI10" s="26">
        <v>13829029.140000002</v>
      </c>
      <c r="AJ10" s="27">
        <v>85323040.67948699</v>
      </c>
      <c r="AK10" s="28">
        <v>176300398.2209</v>
      </c>
    </row>
    <row r="11" spans="1:37">
      <c r="A11" s="1">
        <v>10</v>
      </c>
      <c r="B11" s="30">
        <v>48943.5</v>
      </c>
      <c r="C11" s="1">
        <v>365</v>
      </c>
      <c r="D11" s="2">
        <v>926456927.43545997</v>
      </c>
      <c r="E11" s="3">
        <v>8543831071.750473</v>
      </c>
      <c r="F11" s="4">
        <v>229005983.34270099</v>
      </c>
      <c r="G11" s="5">
        <v>4116831996.2701144</v>
      </c>
      <c r="H11" s="6">
        <v>0</v>
      </c>
      <c r="J11" s="7">
        <v>0.44147865290755112</v>
      </c>
      <c r="K11" s="8">
        <v>0</v>
      </c>
      <c r="M11" s="9">
        <v>0.10453797876469388</v>
      </c>
      <c r="N11" s="10">
        <v>20000000</v>
      </c>
      <c r="O11" s="11">
        <v>31000000</v>
      </c>
      <c r="P11" s="12">
        <v>30919655.468999956</v>
      </c>
      <c r="Q11" s="13">
        <v>0</v>
      </c>
      <c r="R11" s="14">
        <v>7884</v>
      </c>
      <c r="S11" s="15">
        <v>7836.6009583599971</v>
      </c>
      <c r="T11" s="16">
        <v>0</v>
      </c>
      <c r="U11" s="17">
        <v>15000000</v>
      </c>
      <c r="V11" s="28">
        <f t="shared" si="0"/>
        <v>0.78366009583599971</v>
      </c>
      <c r="W11" s="18">
        <v>14884003.109999998</v>
      </c>
      <c r="Y11" s="19">
        <v>13196999.999999978</v>
      </c>
      <c r="Z11" s="28">
        <f t="shared" si="1"/>
        <v>14.884003109999997</v>
      </c>
      <c r="AA11" s="20">
        <v>16035652.358999932</v>
      </c>
      <c r="AB11" s="21">
        <v>5655000</v>
      </c>
      <c r="AC11" s="22">
        <v>7541999.9999999683</v>
      </c>
      <c r="AD11" s="23">
        <v>2.3429306258240512</v>
      </c>
      <c r="AE11" s="28">
        <f t="shared" si="2"/>
        <v>16.035652358999933</v>
      </c>
      <c r="AF11" s="24">
        <v>926456927.43545997</v>
      </c>
      <c r="AG11" s="25">
        <v>144523260000</v>
      </c>
      <c r="AH11" s="28">
        <f t="shared" si="3"/>
        <v>144523.26</v>
      </c>
      <c r="AI11" s="26">
        <v>14739479.85</v>
      </c>
      <c r="AJ11" s="27">
        <v>83666969.889570013</v>
      </c>
      <c r="AK11" s="28">
        <v>175523284.30590001</v>
      </c>
    </row>
    <row r="12" spans="1:37">
      <c r="A12" s="1">
        <v>11</v>
      </c>
      <c r="B12" s="30">
        <v>49308.5</v>
      </c>
      <c r="C12" s="1">
        <v>365</v>
      </c>
      <c r="D12" s="2">
        <v>1020805540.0103599</v>
      </c>
      <c r="E12" s="3">
        <v>9564636611.7608318</v>
      </c>
      <c r="F12" s="4">
        <v>219415232.53481171</v>
      </c>
      <c r="G12" s="5">
        <v>4336247228.804925</v>
      </c>
      <c r="H12" s="6">
        <v>0</v>
      </c>
      <c r="J12" s="7">
        <v>0.55246847064593574</v>
      </c>
      <c r="K12" s="8">
        <v>0</v>
      </c>
      <c r="M12" s="9">
        <v>4.0937372741723571E-2</v>
      </c>
      <c r="N12" s="10">
        <v>20000000</v>
      </c>
      <c r="O12" s="11">
        <v>31000000</v>
      </c>
      <c r="P12" s="12">
        <v>30974748.329999965</v>
      </c>
      <c r="Q12" s="13">
        <v>0</v>
      </c>
      <c r="R12" s="14">
        <v>7884</v>
      </c>
      <c r="S12" s="15">
        <v>7883.4473976600011</v>
      </c>
      <c r="T12" s="16">
        <v>0</v>
      </c>
      <c r="U12" s="17">
        <v>15000000</v>
      </c>
      <c r="V12" s="28">
        <f t="shared" si="0"/>
        <v>0.78834473976600006</v>
      </c>
      <c r="W12" s="18">
        <v>14938324.859999996</v>
      </c>
      <c r="Y12" s="19">
        <v>12779999.999999985</v>
      </c>
      <c r="Z12" s="28">
        <f t="shared" si="1"/>
        <v>14.938324859999994</v>
      </c>
      <c r="AA12" s="20">
        <v>16036423.469999913</v>
      </c>
      <c r="AB12" s="21">
        <v>5706000</v>
      </c>
      <c r="AC12" s="22">
        <v>7073999.9999999618</v>
      </c>
      <c r="AD12" s="23">
        <v>2.4236892276995308</v>
      </c>
      <c r="AE12" s="28">
        <f t="shared" si="2"/>
        <v>16.036423469999914</v>
      </c>
      <c r="AF12" s="24">
        <v>1020805540.0103598</v>
      </c>
      <c r="AG12" s="25">
        <v>288046710000</v>
      </c>
      <c r="AH12" s="28">
        <f t="shared" si="3"/>
        <v>288046.71000000002</v>
      </c>
      <c r="AI12" s="26">
        <v>14650278.149999997</v>
      </c>
      <c r="AJ12" s="27">
        <v>87186897.276399985</v>
      </c>
      <c r="AK12" s="28">
        <v>177118184.26720002</v>
      </c>
    </row>
    <row r="13" spans="1:37">
      <c r="A13" s="1">
        <v>12</v>
      </c>
      <c r="B13" s="30">
        <v>49673.5</v>
      </c>
      <c r="C13" s="1">
        <v>365</v>
      </c>
      <c r="D13" s="2">
        <v>1059133289.73849</v>
      </c>
      <c r="E13" s="3">
        <v>10623769901.499323</v>
      </c>
      <c r="F13" s="4">
        <v>197959584.85284972</v>
      </c>
      <c r="G13" s="5">
        <v>4534206813.6577768</v>
      </c>
      <c r="H13" s="6">
        <v>0</v>
      </c>
      <c r="J13" s="7">
        <v>0.5141964378476932</v>
      </c>
      <c r="K13" s="8">
        <v>0</v>
      </c>
      <c r="M13" s="9">
        <v>3.8404976721915576E-2</v>
      </c>
      <c r="N13" s="10">
        <v>20000000</v>
      </c>
      <c r="O13" s="11">
        <v>31000000</v>
      </c>
      <c r="P13" s="12">
        <v>30910223.51999994</v>
      </c>
      <c r="Q13" s="13">
        <v>0</v>
      </c>
      <c r="R13" s="14">
        <v>7884</v>
      </c>
      <c r="S13" s="15">
        <v>7879.9107275000015</v>
      </c>
      <c r="T13" s="16">
        <v>0</v>
      </c>
      <c r="U13" s="17">
        <v>15000000</v>
      </c>
      <c r="V13" s="28">
        <f t="shared" si="0"/>
        <v>0.78799107275000013</v>
      </c>
      <c r="W13" s="18">
        <v>14501644.169999994</v>
      </c>
      <c r="Y13" s="19">
        <v>12737999.99999997</v>
      </c>
      <c r="Z13" s="28">
        <f t="shared" si="1"/>
        <v>14.501644169999993</v>
      </c>
      <c r="AA13" s="20">
        <v>16408579.34999991</v>
      </c>
      <c r="AB13" s="21">
        <v>5495999.9999999981</v>
      </c>
      <c r="AC13" s="22">
        <v>7241999.9999999609</v>
      </c>
      <c r="AD13" s="23">
        <v>2.4266151295336797</v>
      </c>
      <c r="AE13" s="28">
        <f t="shared" si="2"/>
        <v>16.408579349999908</v>
      </c>
      <c r="AF13" s="24">
        <v>1059133289.73849</v>
      </c>
      <c r="AG13" s="25">
        <v>164613330000</v>
      </c>
      <c r="AH13" s="28">
        <f t="shared" si="3"/>
        <v>164613.32999999999</v>
      </c>
      <c r="AI13" s="26">
        <v>14337030.839999994</v>
      </c>
      <c r="AJ13" s="27">
        <v>84923753.932099998</v>
      </c>
      <c r="AK13" s="28">
        <v>176714654.7798</v>
      </c>
    </row>
    <row r="14" spans="1:37">
      <c r="A14" s="1">
        <v>13</v>
      </c>
      <c r="B14" s="30">
        <v>50038.5</v>
      </c>
      <c r="C14" s="1">
        <v>365</v>
      </c>
      <c r="D14" s="2">
        <v>1143563165.79144</v>
      </c>
      <c r="E14" s="3">
        <v>11767333067.290762</v>
      </c>
      <c r="F14" s="4">
        <v>185860984.67523482</v>
      </c>
      <c r="G14" s="5">
        <v>4720067798.3330116</v>
      </c>
      <c r="H14" s="6">
        <v>0</v>
      </c>
      <c r="J14" s="7">
        <v>0.58433059022376843</v>
      </c>
      <c r="K14" s="8">
        <v>0</v>
      </c>
      <c r="M14" s="9">
        <v>6.8922131954684551E-2</v>
      </c>
      <c r="N14" s="10">
        <v>20000000</v>
      </c>
      <c r="O14" s="11">
        <v>31000000</v>
      </c>
      <c r="P14" s="12">
        <v>30944719.110000007</v>
      </c>
      <c r="Q14" s="13">
        <v>0</v>
      </c>
      <c r="R14" s="14">
        <v>7884</v>
      </c>
      <c r="S14" s="15">
        <v>7819.862923220001</v>
      </c>
      <c r="T14" s="16">
        <v>0</v>
      </c>
      <c r="U14" s="17">
        <v>15000000</v>
      </c>
      <c r="V14" s="28">
        <f t="shared" si="0"/>
        <v>0.78198629232200012</v>
      </c>
      <c r="W14" s="18">
        <v>14685895.199999999</v>
      </c>
      <c r="Y14" s="19">
        <v>12714000</v>
      </c>
      <c r="Z14" s="28">
        <f t="shared" si="1"/>
        <v>14.685895199999999</v>
      </c>
      <c r="AA14" s="20">
        <v>16258823.91</v>
      </c>
      <c r="AB14" s="21">
        <v>5541000</v>
      </c>
      <c r="AC14" s="22">
        <v>7173000</v>
      </c>
      <c r="AD14" s="23">
        <v>2.4339090066068905</v>
      </c>
      <c r="AE14" s="28">
        <f t="shared" si="2"/>
        <v>16.25882391</v>
      </c>
      <c r="AF14" s="24">
        <v>1143563165.79144</v>
      </c>
      <c r="AG14" s="25">
        <v>226893150000</v>
      </c>
      <c r="AH14" s="28">
        <f t="shared" si="3"/>
        <v>226893.15</v>
      </c>
      <c r="AI14" s="26">
        <v>14459002.050000001</v>
      </c>
      <c r="AJ14" s="27">
        <v>85451264.865400001</v>
      </c>
      <c r="AK14" s="28">
        <v>175413090.76970002</v>
      </c>
    </row>
    <row r="15" spans="1:37">
      <c r="A15" s="1">
        <v>14</v>
      </c>
      <c r="B15" s="30">
        <v>50403.5</v>
      </c>
      <c r="C15" s="1">
        <v>365</v>
      </c>
      <c r="D15" s="2">
        <v>990140384.75031996</v>
      </c>
      <c r="E15" s="3">
        <v>12757473452.041082</v>
      </c>
      <c r="F15" s="4">
        <v>139935211.79464003</v>
      </c>
      <c r="G15" s="5">
        <v>4860003010.1276541</v>
      </c>
      <c r="H15" s="6">
        <v>0</v>
      </c>
      <c r="J15" s="7">
        <v>0.50824857246712263</v>
      </c>
      <c r="K15" s="8">
        <v>0</v>
      </c>
      <c r="M15" s="9">
        <v>3.6197098556154932E-2</v>
      </c>
      <c r="N15" s="10">
        <v>20000000</v>
      </c>
      <c r="O15" s="11">
        <v>31000000</v>
      </c>
      <c r="P15" s="12">
        <v>30892728.659999892</v>
      </c>
      <c r="Q15" s="13">
        <v>0</v>
      </c>
      <c r="R15" s="14">
        <v>7884</v>
      </c>
      <c r="S15" s="15">
        <v>7876.7795395000003</v>
      </c>
      <c r="T15" s="16">
        <v>0</v>
      </c>
      <c r="U15" s="17">
        <v>15000000</v>
      </c>
      <c r="V15" s="28">
        <f t="shared" si="0"/>
        <v>0.78767795395000006</v>
      </c>
      <c r="W15" s="18">
        <v>14776704.959999945</v>
      </c>
      <c r="Y15" s="19">
        <v>12764999.99999995</v>
      </c>
      <c r="Z15" s="28">
        <f t="shared" si="1"/>
        <v>14.776704959999945</v>
      </c>
      <c r="AA15" s="20">
        <v>16116023.699999919</v>
      </c>
      <c r="AB15" s="21">
        <v>5654999.9999999776</v>
      </c>
      <c r="AC15" s="22">
        <v>7109999.9999999637</v>
      </c>
      <c r="AD15" s="23">
        <v>2.420111920094008</v>
      </c>
      <c r="AE15" s="28">
        <f t="shared" si="2"/>
        <v>16.116023699999918</v>
      </c>
      <c r="AF15" s="24">
        <v>990140384.75032008</v>
      </c>
      <c r="AG15" s="25">
        <v>61879950000.000008</v>
      </c>
      <c r="AH15" s="28">
        <f t="shared" si="3"/>
        <v>61879.950000000004</v>
      </c>
      <c r="AI15" s="26">
        <v>14714825.009999946</v>
      </c>
      <c r="AJ15" s="27">
        <v>85077903.450000018</v>
      </c>
      <c r="AK15" s="28">
        <v>176743924.59009999</v>
      </c>
    </row>
    <row r="16" spans="1:37">
      <c r="A16" s="1">
        <v>15</v>
      </c>
      <c r="B16" s="30">
        <v>50768.5</v>
      </c>
      <c r="C16" s="1">
        <v>365</v>
      </c>
      <c r="D16" s="2">
        <v>1092957628.2191899</v>
      </c>
      <c r="E16" s="3">
        <v>13850431080.260269</v>
      </c>
      <c r="F16" s="4">
        <v>134318465.0712429</v>
      </c>
      <c r="G16" s="5">
        <v>4994321475.1988964</v>
      </c>
      <c r="H16" s="6">
        <v>0</v>
      </c>
      <c r="J16" s="7">
        <v>0.61570719986898892</v>
      </c>
      <c r="K16" s="8">
        <v>0</v>
      </c>
      <c r="M16" s="9">
        <v>0.17724503200873939</v>
      </c>
      <c r="N16" s="10">
        <v>20000000</v>
      </c>
      <c r="O16" s="11">
        <v>31000000</v>
      </c>
      <c r="P16" s="12">
        <v>30922089.329999957</v>
      </c>
      <c r="Q16" s="13">
        <v>0</v>
      </c>
      <c r="R16" s="14">
        <v>7884</v>
      </c>
      <c r="S16" s="15">
        <v>7739.1623462800017</v>
      </c>
      <c r="T16" s="16">
        <v>0</v>
      </c>
      <c r="U16" s="17">
        <v>15000000</v>
      </c>
      <c r="V16" s="28">
        <f t="shared" si="0"/>
        <v>0.77391623462800019</v>
      </c>
      <c r="W16" s="18">
        <v>14928465.809999999</v>
      </c>
      <c r="Y16" s="19">
        <v>12728999.999999981</v>
      </c>
      <c r="Z16" s="28">
        <f t="shared" si="1"/>
        <v>14.928465809999999</v>
      </c>
      <c r="AA16" s="20">
        <v>15993623.519999957</v>
      </c>
      <c r="AB16" s="21">
        <v>5673000</v>
      </c>
      <c r="AC16" s="22">
        <v>7055999.9999999814</v>
      </c>
      <c r="AD16" s="23">
        <v>2.4292630473721428</v>
      </c>
      <c r="AE16" s="28">
        <f t="shared" si="2"/>
        <v>15.993623519999955</v>
      </c>
      <c r="AF16" s="24">
        <v>1092957628.2191899</v>
      </c>
      <c r="AG16" s="25">
        <v>20626650000</v>
      </c>
      <c r="AH16" s="28">
        <f t="shared" si="3"/>
        <v>20626.650000000001</v>
      </c>
      <c r="AI16" s="26">
        <v>14907839.16</v>
      </c>
      <c r="AJ16" s="27">
        <v>84902686.211700022</v>
      </c>
      <c r="AK16" s="28">
        <v>173686759.11649996</v>
      </c>
    </row>
    <row r="17" spans="1:37">
      <c r="A17" s="1">
        <v>16</v>
      </c>
      <c r="B17" s="30">
        <v>51133.5</v>
      </c>
      <c r="C17" s="1">
        <v>365</v>
      </c>
      <c r="D17" s="2">
        <v>994762850.07954001</v>
      </c>
      <c r="E17" s="3">
        <v>14845193930.339809</v>
      </c>
      <c r="F17" s="4">
        <v>106305102.92340733</v>
      </c>
      <c r="G17" s="5">
        <v>5100626578.122303</v>
      </c>
      <c r="H17" s="6">
        <v>0</v>
      </c>
      <c r="J17" s="7">
        <v>0.49569288598355732</v>
      </c>
      <c r="K17" s="8">
        <v>0</v>
      </c>
      <c r="M17" s="9">
        <v>7.886935787337658E-2</v>
      </c>
      <c r="N17" s="10">
        <v>20000000</v>
      </c>
      <c r="O17" s="11">
        <v>31000000</v>
      </c>
      <c r="P17" s="12">
        <v>30772801.919999979</v>
      </c>
      <c r="Q17" s="13">
        <v>0</v>
      </c>
      <c r="R17" s="14">
        <v>7884</v>
      </c>
      <c r="S17" s="15">
        <v>7873.4704832400002</v>
      </c>
      <c r="T17" s="16">
        <v>0</v>
      </c>
      <c r="U17" s="17">
        <v>15000000</v>
      </c>
      <c r="V17" s="28">
        <f t="shared" si="0"/>
        <v>0.78734704832400004</v>
      </c>
      <c r="W17" s="18">
        <v>14826778.46999998</v>
      </c>
      <c r="Y17" s="19">
        <v>12647999.999999991</v>
      </c>
      <c r="Z17" s="28">
        <f t="shared" si="1"/>
        <v>14.826778469999979</v>
      </c>
      <c r="AA17" s="20">
        <v>15946023.449999962</v>
      </c>
      <c r="AB17" s="21">
        <v>5612999.9999999925</v>
      </c>
      <c r="AC17" s="22">
        <v>7034999.9999999842</v>
      </c>
      <c r="AD17" s="23">
        <v>2.4330172296015178</v>
      </c>
      <c r="AE17" s="28">
        <f t="shared" si="2"/>
        <v>15.946023449999961</v>
      </c>
      <c r="AF17" s="24">
        <v>994762850.0795399</v>
      </c>
      <c r="AG17" s="25">
        <v>411849990000.00085</v>
      </c>
      <c r="AH17" s="28">
        <f t="shared" si="3"/>
        <v>411849.99000000086</v>
      </c>
      <c r="AI17" s="26">
        <v>14414928.479999986</v>
      </c>
      <c r="AJ17" s="27">
        <v>83640555.270199999</v>
      </c>
      <c r="AK17" s="28">
        <v>176648824.13530001</v>
      </c>
    </row>
    <row r="18" spans="1:37">
      <c r="A18" s="1">
        <v>17</v>
      </c>
      <c r="B18" s="30">
        <v>51498.5</v>
      </c>
      <c r="C18" s="1">
        <v>365</v>
      </c>
      <c r="D18" s="2">
        <v>1020825154.1970499</v>
      </c>
      <c r="E18" s="3">
        <v>15866019084.536861</v>
      </c>
      <c r="F18" s="4">
        <v>94861082.653841048</v>
      </c>
      <c r="G18" s="5">
        <v>5195487660.776144</v>
      </c>
      <c r="H18" s="6">
        <v>0</v>
      </c>
      <c r="J18" s="7">
        <v>0.52941436661595942</v>
      </c>
      <c r="K18" s="8">
        <v>0</v>
      </c>
      <c r="M18" s="9">
        <v>0.16321336351846474</v>
      </c>
      <c r="N18" s="10">
        <v>20000000</v>
      </c>
      <c r="O18" s="11">
        <v>31000000</v>
      </c>
      <c r="P18" s="12">
        <v>30894508.922999986</v>
      </c>
      <c r="Q18" s="13">
        <v>0</v>
      </c>
      <c r="R18" s="14">
        <v>7884</v>
      </c>
      <c r="S18" s="15">
        <v>7795.3289307600007</v>
      </c>
      <c r="T18" s="16">
        <v>0</v>
      </c>
      <c r="U18" s="17">
        <v>15000000</v>
      </c>
      <c r="V18" s="28">
        <f t="shared" si="0"/>
        <v>0.77953289307600004</v>
      </c>
      <c r="W18" s="18">
        <v>14982432.929999961</v>
      </c>
      <c r="Y18" s="19">
        <v>12944999.999999983</v>
      </c>
      <c r="Z18" s="28">
        <f t="shared" si="1"/>
        <v>14.982432929999961</v>
      </c>
      <c r="AA18" s="20">
        <v>15912075.992999945</v>
      </c>
      <c r="AB18" s="21">
        <v>5717999.9999999851</v>
      </c>
      <c r="AC18" s="22">
        <v>7226999.9999999721</v>
      </c>
      <c r="AD18" s="23">
        <v>2.3865978310544627</v>
      </c>
      <c r="AE18" s="28">
        <f t="shared" si="2"/>
        <v>15.912075992999943</v>
      </c>
      <c r="AF18" s="24">
        <v>1020825154.1970499</v>
      </c>
      <c r="AG18" s="25">
        <v>40986720000</v>
      </c>
      <c r="AH18" s="28">
        <f t="shared" si="3"/>
        <v>40986.720000000001</v>
      </c>
      <c r="AI18" s="26">
        <v>14941446.209999964</v>
      </c>
      <c r="AJ18" s="27">
        <v>86066430.248349994</v>
      </c>
      <c r="AK18" s="28">
        <v>175367389.3003</v>
      </c>
    </row>
    <row r="19" spans="1:37">
      <c r="A19" s="1">
        <v>18</v>
      </c>
      <c r="B19" s="30">
        <v>51863.5</v>
      </c>
      <c r="C19" s="1">
        <v>365</v>
      </c>
      <c r="D19" s="2">
        <v>966082972.27355993</v>
      </c>
      <c r="E19" s="3">
        <v>16832102056.810421</v>
      </c>
      <c r="F19" s="4">
        <v>78064449.440749958</v>
      </c>
      <c r="G19" s="5">
        <v>5273552110.2168941</v>
      </c>
      <c r="H19" s="6">
        <v>0</v>
      </c>
      <c r="J19" s="7">
        <v>0.49098907515337409</v>
      </c>
      <c r="K19" s="8">
        <v>0</v>
      </c>
      <c r="M19" s="9">
        <v>4.3796071939687438E-2</v>
      </c>
      <c r="N19" s="10">
        <v>20000000</v>
      </c>
      <c r="O19" s="11">
        <v>31000000</v>
      </c>
      <c r="P19" s="12">
        <v>30938336.399999969</v>
      </c>
      <c r="Q19" s="13">
        <v>0</v>
      </c>
      <c r="R19" s="14">
        <v>7884</v>
      </c>
      <c r="S19" s="15">
        <v>7860.1944673099979</v>
      </c>
      <c r="T19" s="16">
        <v>0</v>
      </c>
      <c r="U19" s="17">
        <v>15000000</v>
      </c>
      <c r="V19" s="28">
        <f t="shared" si="0"/>
        <v>0.78601944673099977</v>
      </c>
      <c r="W19" s="18">
        <v>14523112.260000002</v>
      </c>
      <c r="Y19" s="19">
        <v>12731999.999999989</v>
      </c>
      <c r="Z19" s="28">
        <f t="shared" si="1"/>
        <v>14.523112260000001</v>
      </c>
      <c r="AA19" s="20">
        <v>16415224.139999971</v>
      </c>
      <c r="AB19" s="21">
        <v>5490000</v>
      </c>
      <c r="AC19" s="22">
        <v>7241999.9999999888</v>
      </c>
      <c r="AD19" s="23">
        <v>2.429966729500471</v>
      </c>
      <c r="AE19" s="28">
        <f t="shared" si="2"/>
        <v>16.415224139999971</v>
      </c>
      <c r="AF19" s="24">
        <v>966082972.27356005</v>
      </c>
      <c r="AG19" s="25">
        <v>103133250000</v>
      </c>
      <c r="AH19" s="28">
        <f t="shared" si="3"/>
        <v>103133.25</v>
      </c>
      <c r="AI19" s="26">
        <v>14419979.01</v>
      </c>
      <c r="AJ19" s="27">
        <v>86437376.890800014</v>
      </c>
      <c r="AK19" s="28">
        <v>176731213.15329999</v>
      </c>
    </row>
    <row r="20" spans="1:37">
      <c r="A20" s="1">
        <v>19</v>
      </c>
      <c r="B20" s="30">
        <v>52228.5</v>
      </c>
      <c r="C20" s="1">
        <v>365</v>
      </c>
      <c r="D20" s="2">
        <v>1061420397.51245</v>
      </c>
      <c r="E20" s="3">
        <v>17893522454.322872</v>
      </c>
      <c r="F20" s="4">
        <v>74581044.715384081</v>
      </c>
      <c r="G20" s="5">
        <v>5348133154.9322767</v>
      </c>
      <c r="H20" s="6">
        <v>0</v>
      </c>
      <c r="J20" s="7">
        <v>0.53625683391171708</v>
      </c>
      <c r="K20" s="8">
        <v>0</v>
      </c>
      <c r="M20" s="9">
        <v>7.6999658242978872E-2</v>
      </c>
      <c r="N20" s="10">
        <v>20000000</v>
      </c>
      <c r="O20" s="11">
        <v>31000000</v>
      </c>
      <c r="P20" s="12">
        <v>30777537.77999999</v>
      </c>
      <c r="Q20" s="13">
        <v>0</v>
      </c>
      <c r="R20" s="14">
        <v>7884</v>
      </c>
      <c r="S20" s="15">
        <v>7857.7003918300006</v>
      </c>
      <c r="T20" s="16">
        <v>0</v>
      </c>
      <c r="U20" s="17">
        <v>15000000</v>
      </c>
      <c r="V20" s="28">
        <f t="shared" si="0"/>
        <v>0.78577003918300004</v>
      </c>
      <c r="W20" s="18">
        <v>14777114.249999996</v>
      </c>
      <c r="Y20" s="19">
        <v>12671999.999999996</v>
      </c>
      <c r="Z20" s="28">
        <f t="shared" si="1"/>
        <v>14.777114249999995</v>
      </c>
      <c r="AA20" s="20">
        <v>16000423.529999983</v>
      </c>
      <c r="AB20" s="21">
        <v>5612999.9999999991</v>
      </c>
      <c r="AC20" s="22">
        <v>7058999.9999999916</v>
      </c>
      <c r="AD20" s="23">
        <v>2.4287829687499998</v>
      </c>
      <c r="AE20" s="28">
        <f t="shared" si="2"/>
        <v>16.000423529999981</v>
      </c>
      <c r="AF20" s="24">
        <v>1061420397.51245</v>
      </c>
      <c r="AG20" s="25">
        <v>61480080000</v>
      </c>
      <c r="AH20" s="28">
        <f t="shared" si="3"/>
        <v>61480.08</v>
      </c>
      <c r="AI20" s="26">
        <v>14715634.169999996</v>
      </c>
      <c r="AJ20" s="27">
        <v>85866836.30340001</v>
      </c>
      <c r="AK20" s="28">
        <v>176007287.07789996</v>
      </c>
    </row>
    <row r="21" spans="1:37">
      <c r="A21" s="1">
        <v>20</v>
      </c>
      <c r="B21" s="30">
        <v>52593.5</v>
      </c>
      <c r="C21" s="1">
        <v>365</v>
      </c>
      <c r="D21" s="2">
        <v>958987827.97245991</v>
      </c>
      <c r="E21" s="3">
        <v>18852510282.295334</v>
      </c>
      <c r="F21" s="4">
        <v>58594423.789712548</v>
      </c>
      <c r="G21" s="5">
        <v>5406727578.7219887</v>
      </c>
      <c r="H21" s="6">
        <v>0</v>
      </c>
      <c r="J21" s="7">
        <v>0.49157460906830724</v>
      </c>
      <c r="K21" s="8">
        <v>0</v>
      </c>
      <c r="M21" s="9">
        <v>3.527798511921397E-2</v>
      </c>
      <c r="N21" s="10">
        <v>20000000</v>
      </c>
      <c r="O21" s="11">
        <v>31000000</v>
      </c>
      <c r="P21" s="12">
        <v>30753405.089999951</v>
      </c>
      <c r="Q21" s="13">
        <v>0</v>
      </c>
      <c r="R21" s="14">
        <v>7884</v>
      </c>
      <c r="S21" s="15">
        <v>7877.2948920500012</v>
      </c>
      <c r="T21" s="16">
        <v>0</v>
      </c>
      <c r="U21" s="17">
        <v>15000000</v>
      </c>
      <c r="V21" s="28">
        <f t="shared" si="0"/>
        <v>0.78772948920500008</v>
      </c>
      <c r="W21" s="18">
        <v>14304528.930000002</v>
      </c>
      <c r="Y21" s="19">
        <v>12677999.999999976</v>
      </c>
      <c r="Z21" s="28">
        <f t="shared" si="1"/>
        <v>14.30452893</v>
      </c>
      <c r="AA21" s="20">
        <v>16448876.159999944</v>
      </c>
      <c r="AB21" s="21">
        <v>5421000</v>
      </c>
      <c r="AC21" s="22">
        <v>7256999.9999999767</v>
      </c>
      <c r="AD21" s="23">
        <v>2.4257300118315199</v>
      </c>
      <c r="AE21" s="28">
        <f t="shared" si="2"/>
        <v>16.448876159999944</v>
      </c>
      <c r="AF21" s="24">
        <v>958987827.97245991</v>
      </c>
      <c r="AG21" s="25">
        <v>130635450000.00002</v>
      </c>
      <c r="AH21" s="28">
        <f t="shared" si="3"/>
        <v>130635.45000000001</v>
      </c>
      <c r="AI21" s="26">
        <v>14173893.479999999</v>
      </c>
      <c r="AJ21" s="27">
        <v>85014296.886800006</v>
      </c>
      <c r="AK21" s="28">
        <v>176799339.17740002</v>
      </c>
    </row>
    <row r="22" spans="1:37">
      <c r="A22" s="1">
        <v>21</v>
      </c>
      <c r="B22" s="30">
        <v>52958.5</v>
      </c>
      <c r="C22" s="1">
        <v>365</v>
      </c>
      <c r="D22" s="2">
        <v>873909330.24193001</v>
      </c>
      <c r="E22" s="3">
        <v>19726419612.53727</v>
      </c>
      <c r="F22" s="4">
        <v>46431394.649159975</v>
      </c>
      <c r="G22" s="5">
        <v>5453158973.3711491</v>
      </c>
      <c r="H22" s="6">
        <v>0</v>
      </c>
      <c r="J22" s="7">
        <v>0.43890979030089322</v>
      </c>
      <c r="K22" s="8">
        <v>0</v>
      </c>
      <c r="M22" s="9">
        <v>4.2507280354082196E-2</v>
      </c>
      <c r="N22" s="10">
        <v>20000000</v>
      </c>
      <c r="O22" s="11">
        <v>31000000</v>
      </c>
      <c r="P22" s="12">
        <v>30735328.739999935</v>
      </c>
      <c r="Q22" s="13">
        <v>0</v>
      </c>
      <c r="R22" s="14">
        <v>7884</v>
      </c>
      <c r="S22" s="15">
        <v>7718.8912868000007</v>
      </c>
      <c r="T22" s="16">
        <v>0</v>
      </c>
      <c r="U22" s="17">
        <v>15000000</v>
      </c>
      <c r="V22" s="28">
        <f t="shared" si="0"/>
        <v>0.77188912868000004</v>
      </c>
      <c r="W22" s="18">
        <v>14673705.11999993</v>
      </c>
      <c r="Y22" s="19">
        <v>12752999.999999974</v>
      </c>
      <c r="Z22" s="28">
        <f t="shared" si="1"/>
        <v>14.67370511999993</v>
      </c>
      <c r="AA22" s="20">
        <v>16061623.61999994</v>
      </c>
      <c r="AB22" s="21">
        <v>5666999.9999999739</v>
      </c>
      <c r="AC22" s="22">
        <v>7085999.999999973</v>
      </c>
      <c r="AD22" s="23">
        <v>2.4100469489531871</v>
      </c>
      <c r="AE22" s="28">
        <f t="shared" si="2"/>
        <v>16.061623619999938</v>
      </c>
      <c r="AF22" s="24">
        <v>873909330.24192989</v>
      </c>
      <c r="AG22" s="25">
        <v>227346570000.00003</v>
      </c>
      <c r="AH22" s="28">
        <f t="shared" si="3"/>
        <v>227346.57000000004</v>
      </c>
      <c r="AI22" s="26">
        <v>14446358.549999932</v>
      </c>
      <c r="AJ22" s="27">
        <v>84444517.677900001</v>
      </c>
      <c r="AK22" s="28">
        <v>173294269.37529996</v>
      </c>
    </row>
    <row r="23" spans="1:37">
      <c r="A23" s="1">
        <v>22</v>
      </c>
      <c r="B23" s="30">
        <v>53323.5</v>
      </c>
      <c r="C23" s="1">
        <v>365</v>
      </c>
      <c r="D23" s="2">
        <v>915166685.66663003</v>
      </c>
      <c r="E23" s="3">
        <v>20641586298.203903</v>
      </c>
      <c r="F23" s="4">
        <v>42281239.902709022</v>
      </c>
      <c r="G23" s="5">
        <v>5495440213.2738581</v>
      </c>
      <c r="H23" s="6">
        <v>0</v>
      </c>
      <c r="J23" s="7">
        <v>0.47309385875705684</v>
      </c>
      <c r="K23" s="8">
        <v>0</v>
      </c>
      <c r="M23" s="9">
        <v>4.2865631658535255E-2</v>
      </c>
      <c r="N23" s="10">
        <v>20000000</v>
      </c>
      <c r="O23" s="11">
        <v>31000000</v>
      </c>
      <c r="P23" s="12">
        <v>30941295.030000016</v>
      </c>
      <c r="Q23" s="13">
        <v>0</v>
      </c>
      <c r="R23" s="14">
        <v>7884</v>
      </c>
      <c r="S23" s="15">
        <v>7703.3115308599999</v>
      </c>
      <c r="T23" s="16">
        <v>0</v>
      </c>
      <c r="U23" s="17">
        <v>15000000</v>
      </c>
      <c r="V23" s="28">
        <f t="shared" si="0"/>
        <v>0.77033115308599998</v>
      </c>
      <c r="W23" s="18">
        <v>14723271.17999999</v>
      </c>
      <c r="Y23" s="19">
        <v>12792000.000000004</v>
      </c>
      <c r="Z23" s="28">
        <f t="shared" si="1"/>
        <v>14.72327117999999</v>
      </c>
      <c r="AA23" s="20">
        <v>16218023.849999875</v>
      </c>
      <c r="AB23" s="21">
        <v>5636999.9999999972</v>
      </c>
      <c r="AC23" s="22">
        <v>7154999.9999999451</v>
      </c>
      <c r="AD23" s="23">
        <v>2.4188004244840537</v>
      </c>
      <c r="AE23" s="28">
        <f t="shared" si="2"/>
        <v>16.218023849999874</v>
      </c>
      <c r="AF23" s="24">
        <v>915166685.66663003</v>
      </c>
      <c r="AG23" s="25">
        <v>61480079999.999641</v>
      </c>
      <c r="AH23" s="28">
        <f t="shared" si="3"/>
        <v>61480.079999999638</v>
      </c>
      <c r="AI23" s="26">
        <v>14661791.099999992</v>
      </c>
      <c r="AJ23" s="27">
        <v>84998958.492599994</v>
      </c>
      <c r="AK23" s="28">
        <v>172954850.57369998</v>
      </c>
    </row>
    <row r="24" spans="1:37">
      <c r="A24" s="1">
        <v>23</v>
      </c>
      <c r="B24" s="30">
        <v>53688.5</v>
      </c>
      <c r="C24" s="1">
        <v>365</v>
      </c>
      <c r="D24" s="2">
        <v>823574852.69526005</v>
      </c>
      <c r="E24" s="3">
        <v>21465161150.899166</v>
      </c>
      <c r="F24" s="4">
        <v>33086646.324060425</v>
      </c>
      <c r="G24" s="5">
        <v>5528526859.5979195</v>
      </c>
      <c r="H24" s="6">
        <v>0</v>
      </c>
      <c r="J24" s="7">
        <v>0.41724749039249637</v>
      </c>
      <c r="K24" s="8">
        <v>0</v>
      </c>
      <c r="M24" s="9">
        <v>2.7691964858071468E-2</v>
      </c>
      <c r="N24" s="10">
        <v>20000000</v>
      </c>
      <c r="O24" s="11">
        <v>31000000</v>
      </c>
      <c r="P24" s="12">
        <v>30627735.270000007</v>
      </c>
      <c r="Q24" s="13">
        <v>0</v>
      </c>
      <c r="R24" s="14">
        <v>7884</v>
      </c>
      <c r="S24" s="15">
        <v>7741.27098802</v>
      </c>
      <c r="T24" s="16">
        <v>0</v>
      </c>
      <c r="U24" s="17">
        <v>15000000</v>
      </c>
      <c r="V24" s="28">
        <f t="shared" si="0"/>
        <v>0.77412709880200004</v>
      </c>
      <c r="W24" s="18">
        <v>14443711.469999993</v>
      </c>
      <c r="Y24" s="19">
        <v>12617999.999999998</v>
      </c>
      <c r="Z24" s="28">
        <f t="shared" si="1"/>
        <v>14.443711469999993</v>
      </c>
      <c r="AA24" s="20">
        <v>16184023.799999895</v>
      </c>
      <c r="AB24" s="21">
        <v>5477999.9999999972</v>
      </c>
      <c r="AC24" s="22">
        <v>7139999.9999999525</v>
      </c>
      <c r="AD24" s="23">
        <v>2.4273050618164538</v>
      </c>
      <c r="AE24" s="28">
        <f t="shared" si="2"/>
        <v>16.184023799999895</v>
      </c>
      <c r="AF24" s="24">
        <v>823574852.69526005</v>
      </c>
      <c r="AG24" s="25">
        <v>233195669999.99948</v>
      </c>
      <c r="AH24" s="28">
        <f t="shared" si="3"/>
        <v>233195.66999999949</v>
      </c>
      <c r="AI24" s="26">
        <v>14210515.799999993</v>
      </c>
      <c r="AJ24" s="27">
        <v>81956410.696799994</v>
      </c>
      <c r="AK24" s="28">
        <v>173520505.1559</v>
      </c>
    </row>
    <row r="25" spans="1:37">
      <c r="A25" s="1">
        <v>24</v>
      </c>
      <c r="B25" s="30">
        <v>54053.5</v>
      </c>
      <c r="C25" s="1">
        <v>365</v>
      </c>
      <c r="D25" s="2">
        <v>862507635.27953994</v>
      </c>
      <c r="E25" s="3">
        <v>22327668786.178707</v>
      </c>
      <c r="F25" s="4">
        <v>30131085.640166726</v>
      </c>
      <c r="G25" s="5">
        <v>5558657945.2380877</v>
      </c>
      <c r="H25" s="6">
        <v>0</v>
      </c>
      <c r="J25" s="7">
        <v>0.44499881707886901</v>
      </c>
      <c r="K25" s="8">
        <v>0</v>
      </c>
      <c r="M25" s="9">
        <v>3.8753759501279052E-2</v>
      </c>
      <c r="N25" s="10">
        <v>20000000</v>
      </c>
      <c r="O25" s="11">
        <v>31000000</v>
      </c>
      <c r="P25" s="12">
        <v>30810187.829999927</v>
      </c>
      <c r="Q25" s="13">
        <v>0</v>
      </c>
      <c r="R25" s="14">
        <v>7884</v>
      </c>
      <c r="S25" s="15">
        <v>7388.8331987399988</v>
      </c>
      <c r="T25" s="16">
        <v>0</v>
      </c>
      <c r="U25" s="17">
        <v>15000000</v>
      </c>
      <c r="V25" s="28">
        <f t="shared" si="0"/>
        <v>0.73888331987399991</v>
      </c>
      <c r="W25" s="18">
        <v>13884962.939999949</v>
      </c>
      <c r="Y25" s="19">
        <v>12806999.999999966</v>
      </c>
      <c r="Z25" s="28">
        <f t="shared" si="1"/>
        <v>13.884962939999948</v>
      </c>
      <c r="AA25" s="20">
        <v>16925224.889999885</v>
      </c>
      <c r="AB25" s="21">
        <v>5339999.9999999804</v>
      </c>
      <c r="AC25" s="22">
        <v>7466999.9999999525</v>
      </c>
      <c r="AD25" s="23">
        <v>2.4057302904661522</v>
      </c>
      <c r="AE25" s="28">
        <f t="shared" si="2"/>
        <v>16.925224889999885</v>
      </c>
      <c r="AF25" s="24">
        <v>862507635.27954006</v>
      </c>
      <c r="AG25" s="25">
        <v>61480079999.998566</v>
      </c>
      <c r="AH25" s="28">
        <f t="shared" si="3"/>
        <v>61480.079999998568</v>
      </c>
      <c r="AI25" s="26">
        <v>13823482.859999951</v>
      </c>
      <c r="AJ25" s="27">
        <v>87287744.042400002</v>
      </c>
      <c r="AK25" s="28">
        <v>166113928.81569999</v>
      </c>
    </row>
    <row r="26" spans="1:37">
      <c r="A26" s="1">
        <v>25</v>
      </c>
      <c r="B26" s="30">
        <v>54418.5</v>
      </c>
      <c r="C26" s="1">
        <v>365</v>
      </c>
      <c r="D26" s="2">
        <v>745675098.43370998</v>
      </c>
      <c r="E26" s="3">
        <v>23073343884.612427</v>
      </c>
      <c r="F26" s="4">
        <v>22651847.616361864</v>
      </c>
      <c r="G26" s="5">
        <v>5581309792.8544493</v>
      </c>
      <c r="H26" s="6">
        <v>0</v>
      </c>
      <c r="J26" s="7">
        <v>0.36648004722711747</v>
      </c>
      <c r="K26" s="8">
        <v>0</v>
      </c>
      <c r="M26" s="9">
        <v>8.6489727402860905E-4</v>
      </c>
      <c r="N26" s="10">
        <v>20000000</v>
      </c>
      <c r="O26" s="11">
        <v>31000000</v>
      </c>
      <c r="P26" s="12">
        <v>30192726.119999904</v>
      </c>
      <c r="Q26" s="13">
        <v>0</v>
      </c>
      <c r="R26" s="14">
        <v>7884</v>
      </c>
      <c r="S26" s="15">
        <v>7824.8355253200007</v>
      </c>
      <c r="T26" s="16">
        <v>0</v>
      </c>
      <c r="U26" s="17">
        <v>15000000</v>
      </c>
      <c r="V26" s="28">
        <f t="shared" si="0"/>
        <v>0.78248355253200008</v>
      </c>
      <c r="W26" s="18">
        <v>14532303.08999997</v>
      </c>
      <c r="Y26" s="19">
        <v>12434999.999999955</v>
      </c>
      <c r="Z26" s="28">
        <f t="shared" si="1"/>
        <v>14.532303089999969</v>
      </c>
      <c r="AA26" s="20">
        <v>15660423.029999908</v>
      </c>
      <c r="AB26" s="21">
        <v>5525999.9999999879</v>
      </c>
      <c r="AC26" s="22">
        <v>6908999.999999959</v>
      </c>
      <c r="AD26" s="23">
        <v>2.4280439179734632</v>
      </c>
      <c r="AE26" s="28">
        <f t="shared" si="2"/>
        <v>15.660423029999908</v>
      </c>
      <c r="AF26" s="24">
        <v>745675098.4337101</v>
      </c>
      <c r="AG26" s="25">
        <v>27502200000</v>
      </c>
      <c r="AH26" s="28">
        <f t="shared" si="3"/>
        <v>27502.2</v>
      </c>
      <c r="AI26" s="26">
        <v>14504800.889999969</v>
      </c>
      <c r="AJ26" s="27">
        <v>83037043.226899996</v>
      </c>
      <c r="AK26" s="28">
        <v>175576256.53549999</v>
      </c>
    </row>
    <row r="27" spans="1:37">
      <c r="A27" s="1">
        <v>26</v>
      </c>
      <c r="B27" s="30">
        <v>54783.5</v>
      </c>
      <c r="C27" s="1">
        <v>365</v>
      </c>
      <c r="D27" s="2">
        <v>754688125.97919989</v>
      </c>
      <c r="E27" s="3">
        <v>23828032010.591633</v>
      </c>
      <c r="F27" s="4">
        <v>19935340.954172</v>
      </c>
      <c r="G27" s="5">
        <v>5601245133.8086214</v>
      </c>
      <c r="H27" s="6">
        <v>0</v>
      </c>
      <c r="J27" s="7">
        <v>0.36794653276000644</v>
      </c>
      <c r="K27" s="8">
        <v>0</v>
      </c>
      <c r="M27" s="9">
        <v>0.20520755449554698</v>
      </c>
      <c r="N27" s="10">
        <v>20000000</v>
      </c>
      <c r="O27" s="11">
        <v>31000000</v>
      </c>
      <c r="P27" s="12">
        <v>30977374.709999904</v>
      </c>
      <c r="Q27" s="13">
        <v>0</v>
      </c>
      <c r="R27" s="14">
        <v>7884</v>
      </c>
      <c r="S27" s="15">
        <v>7828.2884436700006</v>
      </c>
      <c r="T27" s="16">
        <v>0</v>
      </c>
      <c r="U27" s="17">
        <v>15000000</v>
      </c>
      <c r="V27" s="28">
        <f t="shared" si="0"/>
        <v>0.78282884436700007</v>
      </c>
      <c r="W27" s="18">
        <v>14528150.519999998</v>
      </c>
      <c r="Y27" s="19">
        <v>12827999.999999952</v>
      </c>
      <c r="Z27" s="28">
        <f t="shared" si="1"/>
        <v>14.528150519999997</v>
      </c>
      <c r="AA27" s="20">
        <v>16449224.189999828</v>
      </c>
      <c r="AB27" s="21">
        <v>5570999.9999999981</v>
      </c>
      <c r="AC27" s="22">
        <v>7256999.9999999236</v>
      </c>
      <c r="AD27" s="23">
        <v>2.4148249695977562</v>
      </c>
      <c r="AE27" s="28">
        <f t="shared" si="2"/>
        <v>16.449224189999828</v>
      </c>
      <c r="AF27" s="24">
        <v>754688125.97920001</v>
      </c>
      <c r="AG27" s="25">
        <v>75231180000</v>
      </c>
      <c r="AH27" s="28">
        <f t="shared" si="3"/>
        <v>75231.179999999993</v>
      </c>
      <c r="AI27" s="26">
        <v>14452919.339999996</v>
      </c>
      <c r="AJ27" s="27">
        <v>88421701.274300009</v>
      </c>
      <c r="AK27" s="28">
        <v>175685500.05080003</v>
      </c>
    </row>
    <row r="28" spans="1:37">
      <c r="A28" s="1">
        <v>27</v>
      </c>
      <c r="B28" s="30">
        <v>55148.5</v>
      </c>
      <c r="C28" s="1">
        <v>365</v>
      </c>
      <c r="D28" s="2">
        <v>778492597.8118701</v>
      </c>
      <c r="E28" s="3">
        <v>24606524608.403507</v>
      </c>
      <c r="F28" s="4">
        <v>17881864.4284264</v>
      </c>
      <c r="G28" s="5">
        <v>5619126998.2370481</v>
      </c>
      <c r="H28" s="6">
        <v>0</v>
      </c>
      <c r="J28" s="7">
        <v>0.38751269587661791</v>
      </c>
      <c r="K28" s="8">
        <v>0</v>
      </c>
      <c r="M28" s="9">
        <v>5.2300342388753071E-2</v>
      </c>
      <c r="N28" s="10">
        <v>20000000</v>
      </c>
      <c r="O28" s="11">
        <v>31000000</v>
      </c>
      <c r="P28" s="12">
        <v>28902566.699999925</v>
      </c>
      <c r="Q28" s="13">
        <v>0</v>
      </c>
      <c r="R28" s="14">
        <v>7884</v>
      </c>
      <c r="S28" s="15">
        <v>7836.5282425300011</v>
      </c>
      <c r="T28" s="16">
        <v>0</v>
      </c>
      <c r="U28" s="17">
        <v>15000000</v>
      </c>
      <c r="V28" s="28">
        <f t="shared" si="0"/>
        <v>0.78365282425300009</v>
      </c>
      <c r="W28" s="18">
        <v>14908146.119999966</v>
      </c>
      <c r="Y28" s="19">
        <v>11870999.999999966</v>
      </c>
      <c r="Z28" s="28">
        <f t="shared" si="1"/>
        <v>14.908146119999966</v>
      </c>
      <c r="AA28" s="20">
        <v>13994420.579999914</v>
      </c>
      <c r="AB28" s="21">
        <v>5696999.999999986</v>
      </c>
      <c r="AC28" s="22">
        <v>6173999.9999999618</v>
      </c>
      <c r="AD28" s="23">
        <v>2.4347204700530711</v>
      </c>
      <c r="AE28" s="28">
        <f t="shared" si="2"/>
        <v>13.994420579999915</v>
      </c>
      <c r="AF28" s="24">
        <v>778492597.8118701</v>
      </c>
      <c r="AG28" s="25">
        <v>88982280000</v>
      </c>
      <c r="AH28" s="28">
        <f t="shared" si="3"/>
        <v>88982.28</v>
      </c>
      <c r="AI28" s="26">
        <v>14819163.839999966</v>
      </c>
      <c r="AJ28" s="27">
        <v>82436032.965299994</v>
      </c>
      <c r="AK28" s="28">
        <v>175919553.80820003</v>
      </c>
    </row>
    <row r="29" spans="1:37">
      <c r="A29" s="1">
        <v>28</v>
      </c>
      <c r="B29" s="30">
        <v>55513.5</v>
      </c>
      <c r="C29" s="1">
        <v>365</v>
      </c>
      <c r="D29" s="2">
        <v>746291781.03886998</v>
      </c>
      <c r="E29" s="3">
        <v>25352816389.442379</v>
      </c>
      <c r="F29" s="4">
        <v>14906274.990919581</v>
      </c>
      <c r="G29" s="5">
        <v>5634033273.2279682</v>
      </c>
      <c r="H29" s="6">
        <v>0</v>
      </c>
      <c r="J29" s="7">
        <v>0.37064312034210301</v>
      </c>
      <c r="K29" s="8">
        <v>0</v>
      </c>
      <c r="M29" s="9">
        <v>1.309077205212694E-2</v>
      </c>
      <c r="N29" s="10">
        <v>20000000</v>
      </c>
      <c r="O29" s="11">
        <v>31000000</v>
      </c>
      <c r="P29" s="12">
        <v>22435495.229999837</v>
      </c>
      <c r="Q29" s="13">
        <v>0</v>
      </c>
      <c r="R29" s="14">
        <v>7884</v>
      </c>
      <c r="S29" s="15">
        <v>7873.047541240001</v>
      </c>
      <c r="T29" s="16">
        <v>0</v>
      </c>
      <c r="U29" s="17">
        <v>15000000</v>
      </c>
      <c r="V29" s="28">
        <f t="shared" si="0"/>
        <v>0.78730475412400014</v>
      </c>
      <c r="W29" s="18">
        <v>14547483.629999878</v>
      </c>
      <c r="Y29" s="19">
        <v>9068999.9999999329</v>
      </c>
      <c r="Z29" s="28">
        <f t="shared" si="1"/>
        <v>14.547483629999878</v>
      </c>
      <c r="AA29" s="20">
        <v>7888011.5999999279</v>
      </c>
      <c r="AB29" s="21">
        <v>5588999.9999999516</v>
      </c>
      <c r="AC29" s="22">
        <v>3479999.9999999697</v>
      </c>
      <c r="AD29" s="23">
        <v>2.4738664935494543</v>
      </c>
      <c r="AE29" s="28">
        <f t="shared" si="2"/>
        <v>7.8880115999999276</v>
      </c>
      <c r="AF29" s="24">
        <v>746291781.03886998</v>
      </c>
      <c r="AG29" s="25">
        <v>20626650000</v>
      </c>
      <c r="AH29" s="28">
        <f t="shared" si="3"/>
        <v>20626.650000000001</v>
      </c>
      <c r="AI29" s="26">
        <v>14526856.979999879</v>
      </c>
      <c r="AJ29" s="27">
        <v>69397523.080400005</v>
      </c>
      <c r="AK29" s="28">
        <v>176796771.8655</v>
      </c>
    </row>
    <row r="30" spans="1:37">
      <c r="A30" s="1">
        <v>29</v>
      </c>
      <c r="B30" s="30">
        <v>55878.5</v>
      </c>
      <c r="C30" s="1">
        <v>365</v>
      </c>
      <c r="D30" s="2">
        <v>693226017.16204</v>
      </c>
      <c r="E30" s="3">
        <v>26046042406.604427</v>
      </c>
      <c r="F30" s="4">
        <v>12040304.860843463</v>
      </c>
      <c r="G30" s="5">
        <v>5646073578.0888119</v>
      </c>
      <c r="H30" s="6">
        <v>0</v>
      </c>
      <c r="J30" s="7">
        <v>0.33527728514756655</v>
      </c>
      <c r="K30" s="8">
        <v>0</v>
      </c>
      <c r="M30" s="9">
        <v>5.6394267704055832E-2</v>
      </c>
      <c r="N30" s="10">
        <v>20000000</v>
      </c>
      <c r="O30" s="11">
        <v>31000000</v>
      </c>
      <c r="P30" s="12">
        <v>21802610.699999973</v>
      </c>
      <c r="Q30" s="13">
        <v>0</v>
      </c>
      <c r="R30" s="14">
        <v>7884</v>
      </c>
      <c r="S30" s="15">
        <v>7832.7371593699991</v>
      </c>
      <c r="T30" s="16">
        <v>0</v>
      </c>
      <c r="U30" s="17">
        <v>15000000</v>
      </c>
      <c r="V30" s="28">
        <f t="shared" si="0"/>
        <v>0.7832737159369999</v>
      </c>
      <c r="W30" s="18">
        <v>14948200.619999994</v>
      </c>
      <c r="Y30" s="19">
        <v>8759999.9999999851</v>
      </c>
      <c r="Z30" s="28">
        <f t="shared" si="1"/>
        <v>14.948200619999993</v>
      </c>
      <c r="AA30" s="20">
        <v>6854410.0799999293</v>
      </c>
      <c r="AB30" s="21">
        <v>5735999.9999999972</v>
      </c>
      <c r="AC30" s="22">
        <v>3023999.9999999693</v>
      </c>
      <c r="AD30" s="23">
        <v>2.4888825000000012</v>
      </c>
      <c r="AE30" s="28">
        <f t="shared" si="2"/>
        <v>6.854410079999929</v>
      </c>
      <c r="AF30" s="24">
        <v>693226017.16204</v>
      </c>
      <c r="AG30" s="25">
        <v>184440240000</v>
      </c>
      <c r="AH30" s="28">
        <f t="shared" si="3"/>
        <v>184440.24</v>
      </c>
      <c r="AI30" s="26">
        <v>14763760.379999995</v>
      </c>
      <c r="AJ30" s="27">
        <v>67387481.902100012</v>
      </c>
      <c r="AK30" s="28">
        <v>175723896.76929998</v>
      </c>
    </row>
    <row r="31" spans="1:37">
      <c r="A31" s="1">
        <v>30</v>
      </c>
      <c r="B31" s="30">
        <v>56243.5</v>
      </c>
      <c r="C31" s="1">
        <v>365</v>
      </c>
      <c r="D31" s="2">
        <v>531876738.74256992</v>
      </c>
      <c r="E31" s="3">
        <v>26577919145.347004</v>
      </c>
      <c r="F31" s="4">
        <v>8032963.3692586934</v>
      </c>
      <c r="G31" s="5">
        <v>5654106541.4580708</v>
      </c>
      <c r="H31" s="6">
        <v>0</v>
      </c>
      <c r="J31" s="7">
        <v>0.25261995075516908</v>
      </c>
      <c r="K31" s="8">
        <v>0</v>
      </c>
      <c r="M31" s="9">
        <v>9.3627221234930044E-2</v>
      </c>
      <c r="N31" s="10">
        <v>20000000</v>
      </c>
      <c r="O31" s="11">
        <v>31000000</v>
      </c>
      <c r="P31" s="12">
        <v>20564022.359999899</v>
      </c>
      <c r="Q31" s="13">
        <v>0</v>
      </c>
      <c r="R31" s="14">
        <v>7884</v>
      </c>
      <c r="S31" s="15">
        <v>7782.6279890199994</v>
      </c>
      <c r="T31" s="16">
        <v>0</v>
      </c>
      <c r="U31" s="17">
        <v>15000000</v>
      </c>
      <c r="V31" s="28">
        <f t="shared" si="0"/>
        <v>0.7782627989019999</v>
      </c>
      <c r="W31" s="18">
        <v>14627613.629999826</v>
      </c>
      <c r="Y31" s="19">
        <v>8336999.9999999544</v>
      </c>
      <c r="Z31" s="28">
        <f t="shared" si="1"/>
        <v>14.627613629999825</v>
      </c>
      <c r="AA31" s="20">
        <v>5936408.7299999278</v>
      </c>
      <c r="AB31" s="21">
        <v>5717999.9999999311</v>
      </c>
      <c r="AC31" s="22">
        <v>2618999.9999999683</v>
      </c>
      <c r="AD31" s="23">
        <v>2.4665973803526464</v>
      </c>
      <c r="AE31" s="28">
        <f t="shared" si="2"/>
        <v>5.9364087299999273</v>
      </c>
      <c r="AF31" s="24">
        <v>531876738.74256992</v>
      </c>
      <c r="AG31" s="25">
        <v>102580110000</v>
      </c>
      <c r="AH31" s="28">
        <f t="shared" si="3"/>
        <v>102580.11</v>
      </c>
      <c r="AI31" s="26">
        <v>14525033.519999826</v>
      </c>
      <c r="AJ31" s="27">
        <v>63477848.974899985</v>
      </c>
      <c r="AK31" s="28">
        <v>174659943.62669998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Iara Guimarães Santos</dc:creator>
  <cp:lastModifiedBy>Iara Santos Guimarães</cp:lastModifiedBy>
  <dcterms:created xsi:type="dcterms:W3CDTF">2024-06-10T23:29:17Z</dcterms:created>
  <dcterms:modified xsi:type="dcterms:W3CDTF">2024-06-10T23:29:17Z</dcterms:modified>
</cp:coreProperties>
</file>