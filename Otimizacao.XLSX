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quel.xavier\Desktop\PROJETO_SIMPOSIO\MARVIN\"/>
    </mc:Choice>
  </mc:AlternateContent>
  <xr:revisionPtr revIDLastSave="0" documentId="13_ncr:1_{55290B6D-376F-4AC2-A8A4-7C2016A6F2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F_1" sheetId="1" r:id="rId1"/>
  </sheets>
  <calcPr calcId="0"/>
</workbook>
</file>

<file path=xl/sharedStrings.xml><?xml version="1.0" encoding="utf-8"?>
<sst xmlns="http://schemas.openxmlformats.org/spreadsheetml/2006/main" count="19" uniqueCount="19">
  <si>
    <t>PERIOD</t>
  </si>
  <si>
    <t>INÍCIO</t>
  </si>
  <si>
    <t>DURAÇÃO</t>
  </si>
  <si>
    <t>OBJETIVO(Bruto) ($)</t>
  </si>
  <si>
    <t>OBJETIVO(Bruto)+ ($)</t>
  </si>
  <si>
    <t>OBJETIVO(NPV) ($)</t>
  </si>
  <si>
    <t>OBJETIVO(NPV)+ ($)</t>
  </si>
  <si>
    <t>Massa_MAX (t)</t>
  </si>
  <si>
    <t>Massa_CURRENT (t)</t>
  </si>
  <si>
    <t>Massa_cu_CURRENT (t)</t>
  </si>
  <si>
    <t>Massa_au_CURRENT (g)</t>
  </si>
  <si>
    <t>Massa de Minério_MAX (t)</t>
  </si>
  <si>
    <t>CU_CURRENT (%)</t>
  </si>
  <si>
    <t>AU_CURRENT (g/t)</t>
  </si>
  <si>
    <t>VEB_CURRENT ($)</t>
  </si>
  <si>
    <t>Tempo_MAX (h)</t>
  </si>
  <si>
    <t>Tempo_CURRENT (h)</t>
  </si>
  <si>
    <t>Volume - sum (m³)</t>
  </si>
  <si>
    <t>Densidade - weighted-mean (t/m³)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</si>
</sst>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43" fontId="0" fillId="0" borderId="0" xfId="1" applyFont="1" applyAlignment="1">
      <alignment horizontal="center" vertical="center" wrapText="1"/>
    </xf>
    <xf numFmtId="14" fontId="0" fillId="0" borderId="0" xfId="1" applyNumberFormat="1" applyFont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14" fontId="0" fillId="0" borderId="1" xfId="1" applyNumberFormat="1" applyFont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43" fontId="0" fillId="0" borderId="4" xfId="1" applyFon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11" xfId="1" applyFon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43" fontId="0" fillId="0" borderId="14" xfId="1" applyFont="1" applyBorder="1" applyAlignment="1">
      <alignment horizontal="center" vertical="center"/>
    </xf>
    <xf numFmtId="43" fontId="0" fillId="0" borderId="15" xfId="1" applyFont="1" applyBorder="1" applyAlignment="1">
      <alignment horizontal="center" vertical="center"/>
    </xf>
    <xf numFmtId="43" fontId="0" fillId="0" borderId="16" xfId="1" applyFont="1" applyBorder="1" applyAlignment="1">
      <alignment horizontal="center" vertical="center"/>
    </xf>
    <xf numFmtId="43" fontId="0" fillId="0" borderId="17" xfId="1" applyFont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 wrapText="1"/>
    </xf>
    <xf numFmtId="1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24394056"/>
        <c:axId val="13243868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RAF_1!$A$1</c15:sqref>
                        </c15:formulaRef>
                      </c:ext>
                    </c:extLst>
                    <c:strCache>
                      <c:ptCount val="1"/>
                      <c:pt idx="0">
                        <c:v>PERIOD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RAF_1!$A$2:$A$31</c15:sqref>
                        </c15:formulaRef>
                      </c:ext>
                    </c:extLst>
                    <c:numCache>
                      <c:formatCode>0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977-4A37-9EFE-0494C8F43339}"/>
                  </c:ext>
                </c:extLst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2"/>
          <c:order val="2"/>
          <c:tx>
            <c:v>Massa (t)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RAF_1!$I$2:$I$31</c:f>
              <c:numCache>
                <c:formatCode>_(* #,##0.00_);_(* \(#,##0.00\);_(* "-"??_);_(@_)</c:formatCode>
                <c:ptCount val="30"/>
                <c:pt idx="0">
                  <c:v>5454796.1519999998</c:v>
                </c:pt>
                <c:pt idx="1">
                  <c:v>5138492.7480000006</c:v>
                </c:pt>
                <c:pt idx="2">
                  <c:v>5449152.6839999994</c:v>
                </c:pt>
                <c:pt idx="3">
                  <c:v>6243316.8925200002</c:v>
                </c:pt>
                <c:pt idx="4">
                  <c:v>5705104.5455999998</c:v>
                </c:pt>
                <c:pt idx="5">
                  <c:v>5251343.2167251995</c:v>
                </c:pt>
                <c:pt idx="6">
                  <c:v>6610694.1720000003</c:v>
                </c:pt>
                <c:pt idx="7">
                  <c:v>7830455.1551999999</c:v>
                </c:pt>
                <c:pt idx="8">
                  <c:v>7248575.4603600008</c:v>
                </c:pt>
                <c:pt idx="9">
                  <c:v>6684854.8440000005</c:v>
                </c:pt>
                <c:pt idx="10">
                  <c:v>9670469.9901324008</c:v>
                </c:pt>
                <c:pt idx="11">
                  <c:v>8901840.2243760005</c:v>
                </c:pt>
                <c:pt idx="12">
                  <c:v>10219248.936799999</c:v>
                </c:pt>
                <c:pt idx="13">
                  <c:v>9633891.4778135978</c:v>
                </c:pt>
                <c:pt idx="14">
                  <c:v>10996640.316359999</c:v>
                </c:pt>
                <c:pt idx="15">
                  <c:v>11169434.997450201</c:v>
                </c:pt>
                <c:pt idx="16">
                  <c:v>11866578.588619199</c:v>
                </c:pt>
                <c:pt idx="17">
                  <c:v>12134274.351730401</c:v>
                </c:pt>
                <c:pt idx="18">
                  <c:v>10322127.270559201</c:v>
                </c:pt>
                <c:pt idx="19">
                  <c:v>12025608.097120002</c:v>
                </c:pt>
                <c:pt idx="20">
                  <c:v>9785584.4521200024</c:v>
                </c:pt>
                <c:pt idx="21">
                  <c:v>11827875.231827185</c:v>
                </c:pt>
                <c:pt idx="22">
                  <c:v>10225886.121200003</c:v>
                </c:pt>
                <c:pt idx="23">
                  <c:v>10471792.492000002</c:v>
                </c:pt>
                <c:pt idx="24">
                  <c:v>9329585.8235999998</c:v>
                </c:pt>
                <c:pt idx="25">
                  <c:v>8799496.1821200009</c:v>
                </c:pt>
                <c:pt idx="26">
                  <c:v>8372891.1460000006</c:v>
                </c:pt>
                <c:pt idx="27">
                  <c:v>10840495.972345999</c:v>
                </c:pt>
                <c:pt idx="28">
                  <c:v>13516208.193799989</c:v>
                </c:pt>
                <c:pt idx="29">
                  <c:v>10718030.983687798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77-4A37-9EFE-0494C8F43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395136"/>
        <c:axId val="1324384336"/>
      </c:barChart>
      <c:lineChart>
        <c:grouping val="stacked"/>
        <c:varyColors val="0"/>
        <c:ser>
          <c:idx val="1"/>
          <c:order val="1"/>
          <c:tx>
            <c:v>NPV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RAF_1!$F$2:$F$31</c:f>
              <c:numCache>
                <c:formatCode>_(* #,##0.00_);_(* \(#,##0.00\);_(* "-"??_);_(@_)</c:formatCode>
                <c:ptCount val="30"/>
                <c:pt idx="0">
                  <c:v>1611989506.9895654</c:v>
                </c:pt>
                <c:pt idx="1">
                  <c:v>1204393211.1814747</c:v>
                </c:pt>
                <c:pt idx="2">
                  <c:v>977283025.0053426</c:v>
                </c:pt>
                <c:pt idx="3">
                  <c:v>822910832.94756126</c:v>
                </c:pt>
                <c:pt idx="4">
                  <c:v>626072168.70472491</c:v>
                </c:pt>
                <c:pt idx="5">
                  <c:v>521174712.10125196</c:v>
                </c:pt>
                <c:pt idx="6">
                  <c:v>485640144.08358383</c:v>
                </c:pt>
                <c:pt idx="7">
                  <c:v>422549311.04839212</c:v>
                </c:pt>
                <c:pt idx="8">
                  <c:v>349034624.96228433</c:v>
                </c:pt>
                <c:pt idx="9">
                  <c:v>270372872.01100874</c:v>
                </c:pt>
                <c:pt idx="10">
                  <c:v>230674943.30336121</c:v>
                </c:pt>
                <c:pt idx="11">
                  <c:v>196912892.62824497</c:v>
                </c:pt>
                <c:pt idx="12">
                  <c:v>163375301.18303809</c:v>
                </c:pt>
                <c:pt idx="13">
                  <c:v>123811769.98651402</c:v>
                </c:pt>
                <c:pt idx="14">
                  <c:v>106137060.96035294</c:v>
                </c:pt>
                <c:pt idx="15">
                  <c:v>86898966.782546878</c:v>
                </c:pt>
                <c:pt idx="16">
                  <c:v>64823909.360395655</c:v>
                </c:pt>
                <c:pt idx="17">
                  <c:v>52258318.463976696</c:v>
                </c:pt>
                <c:pt idx="18">
                  <c:v>44298662.729978479</c:v>
                </c:pt>
                <c:pt idx="19">
                  <c:v>35109886.327851616</c:v>
                </c:pt>
                <c:pt idx="20">
                  <c:v>32954234.708104454</c:v>
                </c:pt>
                <c:pt idx="21">
                  <c:v>23803512.278120603</c:v>
                </c:pt>
                <c:pt idx="22">
                  <c:v>22413393.712118708</c:v>
                </c:pt>
                <c:pt idx="23">
                  <c:v>16758549.847956661</c:v>
                </c:pt>
                <c:pt idx="24">
                  <c:v>15076729.716761943</c:v>
                </c:pt>
                <c:pt idx="25">
                  <c:v>10914375.324808568</c:v>
                </c:pt>
                <c:pt idx="26">
                  <c:v>9413620.7596111204</c:v>
                </c:pt>
                <c:pt idx="27">
                  <c:v>6217502.3736835998</c:v>
                </c:pt>
                <c:pt idx="28">
                  <c:v>4436848.1651932625</c:v>
                </c:pt>
                <c:pt idx="29">
                  <c:v>645223.6483407038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77-4A37-9EFE-0494C8F43339}"/>
            </c:ext>
          </c:extLst>
        </c:ser>
        <c:ser>
          <c:idx val="5"/>
          <c:order val="3"/>
          <c:tx>
            <c:v>VEB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RAF_1!$O$2:$O$31</c:f>
              <c:numCache>
                <c:formatCode>_(* #,##0.00_);_(* \(#,##0.00\);_(* "-"??_);_(@_)</c:formatCode>
                <c:ptCount val="30"/>
                <c:pt idx="0">
                  <c:v>1853787933.0379999</c:v>
                </c:pt>
                <c:pt idx="1">
                  <c:v>1592810021.7874999</c:v>
                </c:pt>
                <c:pt idx="2">
                  <c:v>1486325320.6550002</c:v>
                </c:pt>
                <c:pt idx="3">
                  <c:v>1439276190.0179901</c:v>
                </c:pt>
                <c:pt idx="4">
                  <c:v>1259254756.4179599</c:v>
                </c:pt>
                <c:pt idx="5">
                  <c:v>1205508778.5973101</c:v>
                </c:pt>
                <c:pt idx="6">
                  <c:v>1291812438.0160396</c:v>
                </c:pt>
                <c:pt idx="7">
                  <c:v>1292588003.0471601</c:v>
                </c:pt>
                <c:pt idx="8">
                  <c:v>1227860632.2139797</c:v>
                </c:pt>
                <c:pt idx="9">
                  <c:v>1093809063.8897002</c:v>
                </c:pt>
                <c:pt idx="10">
                  <c:v>1073190121.51213</c:v>
                </c:pt>
                <c:pt idx="11">
                  <c:v>1053533224.5533998</c:v>
                </c:pt>
                <c:pt idx="12">
                  <c:v>1005213530.7443002</c:v>
                </c:pt>
                <c:pt idx="13">
                  <c:v>876055654.60516012</c:v>
                </c:pt>
                <c:pt idx="14">
                  <c:v>863643806.17254996</c:v>
                </c:pt>
                <c:pt idx="15">
                  <c:v>813167585.45313013</c:v>
                </c:pt>
                <c:pt idx="16">
                  <c:v>697587202.43534994</c:v>
                </c:pt>
                <c:pt idx="17">
                  <c:v>646720395.63944006</c:v>
                </c:pt>
                <c:pt idx="18">
                  <c:v>630448452.19800007</c:v>
                </c:pt>
                <c:pt idx="19">
                  <c:v>574627267.44686997</c:v>
                </c:pt>
                <c:pt idx="20">
                  <c:v>620248721.79703009</c:v>
                </c:pt>
                <c:pt idx="21">
                  <c:v>515220970.07843006</c:v>
                </c:pt>
                <c:pt idx="22">
                  <c:v>557902038.3046701</c:v>
                </c:pt>
                <c:pt idx="23">
                  <c:v>479716442.10545003</c:v>
                </c:pt>
                <c:pt idx="24">
                  <c:v>496310151.20745993</c:v>
                </c:pt>
                <c:pt idx="25">
                  <c:v>413183274.82076997</c:v>
                </c:pt>
                <c:pt idx="26">
                  <c:v>409824943.55094004</c:v>
                </c:pt>
                <c:pt idx="27">
                  <c:v>311283061.85792994</c:v>
                </c:pt>
                <c:pt idx="28">
                  <c:v>255453546.88753</c:v>
                </c:pt>
                <c:pt idx="29">
                  <c:v>42721401.065059997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77-4A37-9EFE-0494C8F43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4394056"/>
        <c:axId val="1324386856"/>
      </c:lineChart>
      <c:catAx>
        <c:axId val="1324394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4386856"/>
        <c:crosses val="autoZero"/>
        <c:auto val="1"/>
        <c:lblAlgn val="ctr"/>
        <c:lblOffset val="100"/>
        <c:noMultiLvlLbl val="0"/>
      </c:catAx>
      <c:valAx>
        <c:axId val="132438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439405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valAx>
        <c:axId val="1324384336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4395136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catAx>
        <c:axId val="1324395136"/>
        <c:scaling>
          <c:orientation val="minMax"/>
        </c:scaling>
        <c:delete val="1"/>
        <c:axPos val="b"/>
        <c:majorTickMark val="out"/>
        <c:minorTickMark val="none"/>
        <c:tickLblPos val="nextTo"/>
        <c:crossAx val="13243843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Massa (t)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RAF_1!$I$2:$I$31</c:f>
              <c:numCache>
                <c:formatCode>_(* #,##0.00_);_(* \(#,##0.00\);_(* "-"??_);_(@_)</c:formatCode>
                <c:ptCount val="30"/>
                <c:pt idx="0">
                  <c:v>5454796.1519999998</c:v>
                </c:pt>
                <c:pt idx="1">
                  <c:v>5138492.7480000006</c:v>
                </c:pt>
                <c:pt idx="2">
                  <c:v>5449152.6839999994</c:v>
                </c:pt>
                <c:pt idx="3">
                  <c:v>6243316.8925200002</c:v>
                </c:pt>
                <c:pt idx="4">
                  <c:v>5705104.5455999998</c:v>
                </c:pt>
                <c:pt idx="5">
                  <c:v>5251343.2167251995</c:v>
                </c:pt>
                <c:pt idx="6">
                  <c:v>6610694.1720000003</c:v>
                </c:pt>
                <c:pt idx="7">
                  <c:v>7830455.1551999999</c:v>
                </c:pt>
                <c:pt idx="8">
                  <c:v>7248575.4603600008</c:v>
                </c:pt>
                <c:pt idx="9">
                  <c:v>6684854.8440000005</c:v>
                </c:pt>
                <c:pt idx="10">
                  <c:v>9670469.9901324008</c:v>
                </c:pt>
                <c:pt idx="11">
                  <c:v>8901840.2243760005</c:v>
                </c:pt>
                <c:pt idx="12">
                  <c:v>10219248.936799999</c:v>
                </c:pt>
                <c:pt idx="13">
                  <c:v>9633891.4778135978</c:v>
                </c:pt>
                <c:pt idx="14">
                  <c:v>10996640.316359999</c:v>
                </c:pt>
                <c:pt idx="15">
                  <c:v>11169434.997450201</c:v>
                </c:pt>
                <c:pt idx="16">
                  <c:v>11866578.588619199</c:v>
                </c:pt>
                <c:pt idx="17">
                  <c:v>12134274.351730401</c:v>
                </c:pt>
                <c:pt idx="18">
                  <c:v>10322127.270559201</c:v>
                </c:pt>
                <c:pt idx="19">
                  <c:v>12025608.097120002</c:v>
                </c:pt>
                <c:pt idx="20">
                  <c:v>9785584.4521200024</c:v>
                </c:pt>
                <c:pt idx="21">
                  <c:v>11827875.231827185</c:v>
                </c:pt>
                <c:pt idx="22">
                  <c:v>10225886.121200003</c:v>
                </c:pt>
                <c:pt idx="23">
                  <c:v>10471792.492000002</c:v>
                </c:pt>
                <c:pt idx="24">
                  <c:v>9329585.8235999998</c:v>
                </c:pt>
                <c:pt idx="25">
                  <c:v>8799496.1821200009</c:v>
                </c:pt>
                <c:pt idx="26">
                  <c:v>8372891.1460000006</c:v>
                </c:pt>
                <c:pt idx="27">
                  <c:v>10840495.972345999</c:v>
                </c:pt>
                <c:pt idx="28">
                  <c:v>13516208.193799989</c:v>
                </c:pt>
                <c:pt idx="29">
                  <c:v>10718030.983687798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01-4035-8872-D6A6E5CB6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338432"/>
        <c:axId val="7330760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RAF_1!$A$1</c15:sqref>
                        </c15:formulaRef>
                      </c:ext>
                    </c:extLst>
                    <c:strCache>
                      <c:ptCount val="1"/>
                      <c:pt idx="0">
                        <c:v>PERIOD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RAF_1!$A$2:$A$31</c15:sqref>
                        </c15:formulaRef>
                      </c:ext>
                    </c:extLst>
                    <c:numCache>
                      <c:formatCode>0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C01-4035-8872-D6A6E5CB6116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2"/>
          <c:tx>
            <c:v>Tempo de processamento (h)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RAF_1!$Q$2:$Q$31</c:f>
              <c:numCache>
                <c:formatCode>_(* #,##0.00_);_(* \(#,##0.00\);_(* "-"??_);_(@_)</c:formatCode>
                <c:ptCount val="30"/>
                <c:pt idx="0">
                  <c:v>7855.2729189299998</c:v>
                </c:pt>
                <c:pt idx="1">
                  <c:v>7861.7685509899993</c:v>
                </c:pt>
                <c:pt idx="2">
                  <c:v>7871.4634464499995</c:v>
                </c:pt>
                <c:pt idx="3">
                  <c:v>7883.139190982999</c:v>
                </c:pt>
                <c:pt idx="4">
                  <c:v>7877.2142243859998</c:v>
                </c:pt>
                <c:pt idx="5">
                  <c:v>7875.2665819330014</c:v>
                </c:pt>
                <c:pt idx="6">
                  <c:v>7879.2093132570008</c:v>
                </c:pt>
                <c:pt idx="7">
                  <c:v>7872.4489048999994</c:v>
                </c:pt>
                <c:pt idx="8">
                  <c:v>7878.858692924</c:v>
                </c:pt>
                <c:pt idx="9">
                  <c:v>7882.08219113</c:v>
                </c:pt>
                <c:pt idx="10">
                  <c:v>7883.1118072100007</c:v>
                </c:pt>
                <c:pt idx="11">
                  <c:v>7878.8350545759986</c:v>
                </c:pt>
                <c:pt idx="12">
                  <c:v>7880.3995130100011</c:v>
                </c:pt>
                <c:pt idx="13">
                  <c:v>7864.5176117200017</c:v>
                </c:pt>
                <c:pt idx="14">
                  <c:v>7877.1838377470012</c:v>
                </c:pt>
                <c:pt idx="15">
                  <c:v>7873.6313867499994</c:v>
                </c:pt>
                <c:pt idx="16">
                  <c:v>7868.9673365099979</c:v>
                </c:pt>
                <c:pt idx="17">
                  <c:v>7874.6564619199999</c:v>
                </c:pt>
                <c:pt idx="18">
                  <c:v>7870.8492359780003</c:v>
                </c:pt>
                <c:pt idx="19">
                  <c:v>7875.4588860739996</c:v>
                </c:pt>
                <c:pt idx="20">
                  <c:v>7873.0926006900017</c:v>
                </c:pt>
                <c:pt idx="21">
                  <c:v>7882.3877410699997</c:v>
                </c:pt>
                <c:pt idx="22">
                  <c:v>7882.9335771090018</c:v>
                </c:pt>
                <c:pt idx="23">
                  <c:v>7876.1903512130002</c:v>
                </c:pt>
                <c:pt idx="24">
                  <c:v>7880.9061969000004</c:v>
                </c:pt>
                <c:pt idx="25">
                  <c:v>7877.4287038070006</c:v>
                </c:pt>
                <c:pt idx="26">
                  <c:v>7857.028208779001</c:v>
                </c:pt>
                <c:pt idx="27">
                  <c:v>7880.992002072001</c:v>
                </c:pt>
                <c:pt idx="28">
                  <c:v>7882.4936048610016</c:v>
                </c:pt>
                <c:pt idx="29">
                  <c:v>2752.2791072800001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01-4035-8872-D6A6E5CB6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588664"/>
        <c:axId val="733074576"/>
      </c:lineChart>
      <c:catAx>
        <c:axId val="356338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3076016"/>
        <c:crosses val="autoZero"/>
        <c:auto val="1"/>
        <c:lblAlgn val="ctr"/>
        <c:lblOffset val="100"/>
        <c:noMultiLvlLbl val="0"/>
      </c:catAx>
      <c:valAx>
        <c:axId val="73307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633843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valAx>
        <c:axId val="733074576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5588664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catAx>
        <c:axId val="845588664"/>
        <c:scaling>
          <c:orientation val="minMax"/>
        </c:scaling>
        <c:delete val="1"/>
        <c:axPos val="b"/>
        <c:majorTickMark val="out"/>
        <c:minorTickMark val="none"/>
        <c:tickLblPos val="nextTo"/>
        <c:crossAx val="73307457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474192"/>
        <c:axId val="7124705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RAF_1!$A$1</c15:sqref>
                        </c15:formulaRef>
                      </c:ext>
                    </c:extLst>
                    <c:strCache>
                      <c:ptCount val="1"/>
                      <c:pt idx="0">
                        <c:v>PERIOD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RAF_1!$A$2:$A$31</c15:sqref>
                        </c15:formulaRef>
                      </c:ext>
                    </c:extLst>
                    <c:numCache>
                      <c:formatCode>0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A10-4C0B-8A0B-8A9BF71E0D8C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1"/>
          <c:order val="1"/>
          <c:tx>
            <c:v>Teor de Cobre (%)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RAF_1!$M$2:$M$31</c:f>
              <c:numCache>
                <c:formatCode>_(* #,##0.00_);_(* \(#,##0.00\);_(* "-"??_);_(@_)</c:formatCode>
                <c:ptCount val="30"/>
                <c:pt idx="0">
                  <c:v>1.0444474591796609</c:v>
                </c:pt>
                <c:pt idx="1">
                  <c:v>0.89023017097626156</c:v>
                </c:pt>
                <c:pt idx="2">
                  <c:v>0.78583262715177193</c:v>
                </c:pt>
                <c:pt idx="3">
                  <c:v>0.779936020302058</c:v>
                </c:pt>
                <c:pt idx="4">
                  <c:v>0.67551233140102074</c:v>
                </c:pt>
                <c:pt idx="5">
                  <c:v>0.6475249546610613</c:v>
                </c:pt>
                <c:pt idx="6">
                  <c:v>0.63826049486705871</c:v>
                </c:pt>
                <c:pt idx="7">
                  <c:v>0.6518743770712675</c:v>
                </c:pt>
                <c:pt idx="8">
                  <c:v>0.60978066966761679</c:v>
                </c:pt>
                <c:pt idx="9">
                  <c:v>0.57197778809546462</c:v>
                </c:pt>
                <c:pt idx="10">
                  <c:v>0.53335532754838111</c:v>
                </c:pt>
                <c:pt idx="11">
                  <c:v>0.50951387275847548</c:v>
                </c:pt>
                <c:pt idx="12">
                  <c:v>0.55138854282085759</c:v>
                </c:pt>
                <c:pt idx="13">
                  <c:v>0.46789298252861883</c:v>
                </c:pt>
                <c:pt idx="14">
                  <c:v>0.46192723476282238</c:v>
                </c:pt>
                <c:pt idx="15">
                  <c:v>0.4427015308477581</c:v>
                </c:pt>
                <c:pt idx="16">
                  <c:v>0.42735805374087482</c:v>
                </c:pt>
                <c:pt idx="17">
                  <c:v>0.41928295107844288</c:v>
                </c:pt>
                <c:pt idx="18">
                  <c:v>0.40687677641737907</c:v>
                </c:pt>
                <c:pt idx="19">
                  <c:v>0.40178357343919163</c:v>
                </c:pt>
                <c:pt idx="20">
                  <c:v>0.34397062902680076</c:v>
                </c:pt>
                <c:pt idx="21">
                  <c:v>0.31675139693248766</c:v>
                </c:pt>
                <c:pt idx="22">
                  <c:v>0.30994475722430209</c:v>
                </c:pt>
                <c:pt idx="23">
                  <c:v>0.32551422815607023</c:v>
                </c:pt>
                <c:pt idx="24">
                  <c:v>0.30821926513555659</c:v>
                </c:pt>
                <c:pt idx="25">
                  <c:v>0.19004529909793061</c:v>
                </c:pt>
                <c:pt idx="26">
                  <c:v>0.25501797896148076</c:v>
                </c:pt>
                <c:pt idx="27">
                  <c:v>0.2691032172270319</c:v>
                </c:pt>
                <c:pt idx="28">
                  <c:v>0.1359081819178648</c:v>
                </c:pt>
                <c:pt idx="29">
                  <c:v>0.56017982866533178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10-4C0B-8A0B-8A9BF71E0D8C}"/>
            </c:ext>
          </c:extLst>
        </c:ser>
        <c:ser>
          <c:idx val="2"/>
          <c:order val="2"/>
          <c:tx>
            <c:v>Teor de Ouro (g/t)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RAF_1!$N$2:$N$31</c:f>
              <c:numCache>
                <c:formatCode>_(* #,##0.00_);_(* \(#,##0.00\);_(* "-"??_);_(@_)</c:formatCode>
                <c:ptCount val="30"/>
                <c:pt idx="0">
                  <c:v>0.73245082909748283</c:v>
                </c:pt>
                <c:pt idx="1">
                  <c:v>0.695646521283662</c:v>
                </c:pt>
                <c:pt idx="2">
                  <c:v>0.76690934005710498</c:v>
                </c:pt>
                <c:pt idx="3">
                  <c:v>0.66040316873859706</c:v>
                </c:pt>
                <c:pt idx="4">
                  <c:v>0.64502670110713056</c:v>
                </c:pt>
                <c:pt idx="5">
                  <c:v>0.60048805233314373</c:v>
                </c:pt>
                <c:pt idx="6">
                  <c:v>0.7785184873533828</c:v>
                </c:pt>
                <c:pt idx="7">
                  <c:v>0.71145066499738041</c:v>
                </c:pt>
                <c:pt idx="8">
                  <c:v>0.73641760704283632</c:v>
                </c:pt>
                <c:pt idx="9">
                  <c:v>0.6029573860684192</c:v>
                </c:pt>
                <c:pt idx="10">
                  <c:v>0.70566567386924361</c:v>
                </c:pt>
                <c:pt idx="11">
                  <c:v>0.69014410955343874</c:v>
                </c:pt>
                <c:pt idx="12">
                  <c:v>0.5179309875694329</c:v>
                </c:pt>
                <c:pt idx="13">
                  <c:v>0.47979106857177395</c:v>
                </c:pt>
                <c:pt idx="14">
                  <c:v>0.60238083013724941</c:v>
                </c:pt>
                <c:pt idx="15">
                  <c:v>0.4091240700912912</c:v>
                </c:pt>
                <c:pt idx="16">
                  <c:v>0.44182203060610648</c:v>
                </c:pt>
                <c:pt idx="17">
                  <c:v>0.33405118356695751</c:v>
                </c:pt>
                <c:pt idx="18">
                  <c:v>0.35689721987490519</c:v>
                </c:pt>
                <c:pt idx="19">
                  <c:v>0.33514054532828225</c:v>
                </c:pt>
                <c:pt idx="20">
                  <c:v>0.59398453656473083</c:v>
                </c:pt>
                <c:pt idx="21">
                  <c:v>0.41034199862213161</c:v>
                </c:pt>
                <c:pt idx="22">
                  <c:v>0.33050567303404038</c:v>
                </c:pt>
                <c:pt idx="23">
                  <c:v>0.3162466122539222</c:v>
                </c:pt>
                <c:pt idx="24">
                  <c:v>0.32996746066889848</c:v>
                </c:pt>
                <c:pt idx="25">
                  <c:v>0.31422592014574002</c:v>
                </c:pt>
                <c:pt idx="26">
                  <c:v>0.41278263574900803</c:v>
                </c:pt>
                <c:pt idx="27">
                  <c:v>0.32055064703964337</c:v>
                </c:pt>
                <c:pt idx="28">
                  <c:v>0.13221567693716649</c:v>
                </c:pt>
                <c:pt idx="29">
                  <c:v>0.3848670884581753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10-4C0B-8A0B-8A9BF71E0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474192"/>
        <c:axId val="712470592"/>
      </c:lineChart>
      <c:catAx>
        <c:axId val="712474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2470592"/>
        <c:crosses val="autoZero"/>
        <c:auto val="1"/>
        <c:lblAlgn val="ctr"/>
        <c:lblOffset val="100"/>
        <c:noMultiLvlLbl val="0"/>
      </c:catAx>
      <c:valAx>
        <c:axId val="71247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247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523875</xdr:colOff>
      <xdr:row>0</xdr:row>
      <xdr:rowOff>171450</xdr:rowOff>
    </xdr:from>
    <xdr:to>
      <xdr:col>31</xdr:col>
      <xdr:colOff>114300</xdr:colOff>
      <xdr:row>29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73DBD9-223E-0F77-A39D-A630CCF46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</xdr:colOff>
      <xdr:row>2</xdr:row>
      <xdr:rowOff>190499</xdr:rowOff>
    </xdr:from>
    <xdr:to>
      <xdr:col>10</xdr:col>
      <xdr:colOff>657224</xdr:colOff>
      <xdr:row>28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C625B3-14AA-7338-D094-DAF3993A0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752474</xdr:colOff>
      <xdr:row>2</xdr:row>
      <xdr:rowOff>100011</xdr:rowOff>
    </xdr:from>
    <xdr:to>
      <xdr:col>17</xdr:col>
      <xdr:colOff>762000</xdr:colOff>
      <xdr:row>24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3775FD-4FC5-3B49-3B29-4CB31EAB6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activeCell="N1" activeCellId="2" sqref="A1:A31 M1:M31 N1:N31"/>
    </sheetView>
  </sheetViews>
  <sheetFormatPr defaultRowHeight="15" x14ac:dyDescent="0.25"/>
  <cols>
    <col min="1" max="1" width="8" style="23" bestFit="1" customWidth="1"/>
    <col min="2" max="2" width="10.7109375" style="21" bestFit="1" customWidth="1"/>
    <col min="3" max="3" width="10.28515625" style="3" bestFit="1" customWidth="1"/>
    <col min="4" max="4" width="16.42578125" style="3" customWidth="1"/>
    <col min="5" max="5" width="17.5703125" style="3" bestFit="1" customWidth="1"/>
    <col min="6" max="7" width="16.42578125" style="3" bestFit="1" customWidth="1"/>
    <col min="8" max="8" width="14" style="3" bestFit="1" customWidth="1"/>
    <col min="9" max="9" width="16.85546875" style="3" customWidth="1"/>
    <col min="10" max="10" width="13.85546875" style="3" customWidth="1"/>
    <col min="11" max="11" width="15.140625" style="3" customWidth="1"/>
    <col min="12" max="12" width="17.5703125" style="3" customWidth="1"/>
    <col min="13" max="13" width="12.28515625" style="3" customWidth="1"/>
    <col min="14" max="14" width="12.7109375" style="3" customWidth="1"/>
    <col min="15" max="15" width="16.42578125" style="3" bestFit="1" customWidth="1"/>
    <col min="16" max="16" width="11.7109375" style="3" customWidth="1"/>
    <col min="17" max="17" width="13.85546875" style="3" customWidth="1"/>
    <col min="18" max="18" width="12.85546875" style="3" bestFit="1" customWidth="1"/>
    <col min="19" max="19" width="12" style="3" bestFit="1" customWidth="1"/>
    <col min="20" max="16384" width="9.140625" style="3"/>
  </cols>
  <sheetData>
    <row r="1" spans="1:19" s="1" customFormat="1" ht="60" x14ac:dyDescent="0.25">
      <c r="A1" s="2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3">
        <v>1</v>
      </c>
      <c r="B2" s="4">
        <v>45658.7</v>
      </c>
      <c r="C2" s="3">
        <v>365</v>
      </c>
      <c r="D2" s="5">
        <v>1853787933.0379999</v>
      </c>
      <c r="E2" s="6">
        <v>1853787933.0379999</v>
      </c>
      <c r="F2" s="7">
        <v>1611989506.9895654</v>
      </c>
      <c r="G2" s="8">
        <v>1611989506.9895654</v>
      </c>
      <c r="H2" s="9">
        <v>23845401.489999998</v>
      </c>
      <c r="I2" s="10">
        <v>5454796.1519999998</v>
      </c>
      <c r="J2" s="11">
        <v>55733.956738177207</v>
      </c>
      <c r="K2" s="12">
        <v>3870657.4188751206</v>
      </c>
      <c r="L2" s="13">
        <v>14817112</v>
      </c>
      <c r="M2" s="14">
        <v>1.0444474591796609</v>
      </c>
      <c r="N2" s="15">
        <v>0.73245082909748283</v>
      </c>
      <c r="O2" s="16">
        <v>1853787933.0379999</v>
      </c>
      <c r="P2" s="17">
        <v>7884</v>
      </c>
      <c r="Q2" s="18">
        <v>7855.2729189299998</v>
      </c>
      <c r="R2" s="19">
        <v>2040000</v>
      </c>
      <c r="S2" s="20">
        <v>2.673919682352941</v>
      </c>
    </row>
    <row r="3" spans="1:19" x14ac:dyDescent="0.25">
      <c r="A3" s="23">
        <v>2</v>
      </c>
      <c r="B3" s="4">
        <v>46023.7</v>
      </c>
      <c r="C3" s="3">
        <v>365</v>
      </c>
      <c r="D3" s="5">
        <v>1592810021.7874999</v>
      </c>
      <c r="E3" s="6">
        <v>3446597954.8255005</v>
      </c>
      <c r="F3" s="7">
        <v>1204393211.1814747</v>
      </c>
      <c r="G3" s="8">
        <v>2816382718.1710401</v>
      </c>
      <c r="H3" s="9">
        <v>23845401.489999998</v>
      </c>
      <c r="I3" s="10">
        <v>5138492.7480000006</v>
      </c>
      <c r="J3" s="11">
        <v>44696.957349942</v>
      </c>
      <c r="K3" s="12">
        <v>3345595.8182803201</v>
      </c>
      <c r="L3" s="13">
        <v>14817112</v>
      </c>
      <c r="M3" s="14">
        <v>0.89023017097626156</v>
      </c>
      <c r="N3" s="15">
        <v>0.695646521283662</v>
      </c>
      <c r="O3" s="16">
        <v>1592810021.7874999</v>
      </c>
      <c r="P3" s="17">
        <v>7884</v>
      </c>
      <c r="Q3" s="18">
        <v>7861.7685509899993</v>
      </c>
      <c r="R3" s="19">
        <v>1920000</v>
      </c>
      <c r="S3" s="20">
        <v>2.6762983062499996</v>
      </c>
    </row>
    <row r="4" spans="1:19" x14ac:dyDescent="0.25">
      <c r="A4" s="23">
        <v>3</v>
      </c>
      <c r="B4" s="4">
        <v>46388.7</v>
      </c>
      <c r="C4" s="3">
        <v>365</v>
      </c>
      <c r="D4" s="5">
        <v>1486325320.6550002</v>
      </c>
      <c r="E4" s="6">
        <v>4932923275.4805012</v>
      </c>
      <c r="F4" s="7">
        <v>977283025.0053426</v>
      </c>
      <c r="G4" s="8">
        <v>3793665743.1763825</v>
      </c>
      <c r="H4" s="9">
        <v>23845401.489999998</v>
      </c>
      <c r="I4" s="10">
        <v>5449152.6839999994</v>
      </c>
      <c r="J4" s="11">
        <v>41338.149137518798</v>
      </c>
      <c r="K4" s="12">
        <v>3887886.7306753201</v>
      </c>
      <c r="L4" s="13">
        <v>14817112</v>
      </c>
      <c r="M4" s="14">
        <v>0.78583262715177193</v>
      </c>
      <c r="N4" s="15">
        <v>0.76690934005710498</v>
      </c>
      <c r="O4" s="16">
        <v>1486325320.6550002</v>
      </c>
      <c r="P4" s="17">
        <v>7884</v>
      </c>
      <c r="Q4" s="18">
        <v>7871.4634464499995</v>
      </c>
      <c r="R4" s="19">
        <v>2040000</v>
      </c>
      <c r="S4" s="20">
        <v>2.6711532764705881</v>
      </c>
    </row>
    <row r="5" spans="1:19" x14ac:dyDescent="0.25">
      <c r="A5" s="23">
        <v>4</v>
      </c>
      <c r="B5" s="4">
        <v>46753.7</v>
      </c>
      <c r="C5" s="3">
        <v>365</v>
      </c>
      <c r="D5" s="5">
        <v>1439276190.0179901</v>
      </c>
      <c r="E5" s="6">
        <v>6372199465.4984903</v>
      </c>
      <c r="F5" s="7">
        <v>822910832.94756126</v>
      </c>
      <c r="G5" s="8">
        <v>4616576576.1239424</v>
      </c>
      <c r="H5" s="9">
        <v>23845401.489999998</v>
      </c>
      <c r="I5" s="10">
        <v>6243316.8925200002</v>
      </c>
      <c r="J5" s="11">
        <v>44918.418395991597</v>
      </c>
      <c r="K5" s="12">
        <v>3548977.6670929925</v>
      </c>
      <c r="L5" s="13">
        <v>14817112</v>
      </c>
      <c r="M5" s="14">
        <v>0.779936020302058</v>
      </c>
      <c r="N5" s="15">
        <v>0.66040316873859706</v>
      </c>
      <c r="O5" s="16">
        <v>1439276190.0179901</v>
      </c>
      <c r="P5" s="17">
        <v>7884</v>
      </c>
      <c r="Q5" s="18">
        <v>7883.139190982999</v>
      </c>
      <c r="R5" s="19">
        <v>2648400</v>
      </c>
      <c r="S5" s="20">
        <v>2.3573919696873582</v>
      </c>
    </row>
    <row r="6" spans="1:19" x14ac:dyDescent="0.25">
      <c r="A6" s="23">
        <v>5</v>
      </c>
      <c r="B6" s="4">
        <v>47118.7</v>
      </c>
      <c r="C6" s="3">
        <v>365</v>
      </c>
      <c r="D6" s="5">
        <v>1259254756.4179599</v>
      </c>
      <c r="E6" s="6">
        <v>7631454221.9164515</v>
      </c>
      <c r="F6" s="7">
        <v>626072168.70472491</v>
      </c>
      <c r="G6" s="8">
        <v>5242648744.8286686</v>
      </c>
      <c r="H6" s="9">
        <v>23845401.489999998</v>
      </c>
      <c r="I6" s="10">
        <v>5705104.5455999998</v>
      </c>
      <c r="J6" s="11">
        <v>34029.808975234439</v>
      </c>
      <c r="K6" s="12">
        <v>2976905.037099408</v>
      </c>
      <c r="L6" s="13">
        <v>14817112</v>
      </c>
      <c r="M6" s="14">
        <v>0.67551233140102074</v>
      </c>
      <c r="N6" s="15">
        <v>0.64502670110713056</v>
      </c>
      <c r="O6" s="16">
        <v>1259254756.4179599</v>
      </c>
      <c r="P6" s="17">
        <v>7884</v>
      </c>
      <c r="Q6" s="18">
        <v>7877.2142243859998</v>
      </c>
      <c r="R6" s="19">
        <v>2280000</v>
      </c>
      <c r="S6" s="20">
        <v>2.5022388357894738</v>
      </c>
    </row>
    <row r="7" spans="1:19" x14ac:dyDescent="0.25">
      <c r="A7" s="23">
        <v>6</v>
      </c>
      <c r="B7" s="4">
        <v>47483.7</v>
      </c>
      <c r="C7" s="3">
        <v>365</v>
      </c>
      <c r="D7" s="5">
        <v>1205508778.5973101</v>
      </c>
      <c r="E7" s="6">
        <v>8836963000.5137596</v>
      </c>
      <c r="F7" s="7">
        <v>521174712.10125196</v>
      </c>
      <c r="G7" s="8">
        <v>5763823456.9299202</v>
      </c>
      <c r="H7" s="9">
        <v>23845401.489999998</v>
      </c>
      <c r="I7" s="10">
        <v>5251343.2167251995</v>
      </c>
      <c r="J7" s="11">
        <v>32175.406873814394</v>
      </c>
      <c r="K7" s="12">
        <v>2765577.8225021763</v>
      </c>
      <c r="L7" s="13">
        <v>14817112</v>
      </c>
      <c r="M7" s="14">
        <v>0.6475249546610613</v>
      </c>
      <c r="N7" s="15">
        <v>0.60048805233314373</v>
      </c>
      <c r="O7" s="16">
        <v>1205508778.5973101</v>
      </c>
      <c r="P7" s="17">
        <v>7884</v>
      </c>
      <c r="Q7" s="18">
        <v>7875.2665819330014</v>
      </c>
      <c r="R7" s="19">
        <v>2222400</v>
      </c>
      <c r="S7" s="20">
        <v>2.3629154142931963</v>
      </c>
    </row>
    <row r="8" spans="1:19" x14ac:dyDescent="0.25">
      <c r="A8" s="23">
        <v>7</v>
      </c>
      <c r="B8" s="4">
        <v>47848.7</v>
      </c>
      <c r="C8" s="3">
        <v>365</v>
      </c>
      <c r="D8" s="5">
        <v>1291812438.0160396</v>
      </c>
      <c r="E8" s="6">
        <v>10128775438.529802</v>
      </c>
      <c r="F8" s="7">
        <v>485640144.08358383</v>
      </c>
      <c r="G8" s="8">
        <v>6249463601.013505</v>
      </c>
      <c r="H8" s="9">
        <v>23845401.489999998</v>
      </c>
      <c r="I8" s="10">
        <v>6610694.1720000003</v>
      </c>
      <c r="J8" s="11">
        <v>35442.399298610406</v>
      </c>
      <c r="K8" s="12">
        <v>4054072.1910076076</v>
      </c>
      <c r="L8" s="13">
        <v>14817112</v>
      </c>
      <c r="M8" s="14">
        <v>0.63826049486705871</v>
      </c>
      <c r="N8" s="15">
        <v>0.7785184873533828</v>
      </c>
      <c r="O8" s="16">
        <v>1291812438.0160396</v>
      </c>
      <c r="P8" s="17">
        <v>7884</v>
      </c>
      <c r="Q8" s="18">
        <v>7879.2093132570008</v>
      </c>
      <c r="R8" s="19">
        <v>2632800</v>
      </c>
      <c r="S8" s="20">
        <v>2.5108987283500452</v>
      </c>
    </row>
    <row r="9" spans="1:19" x14ac:dyDescent="0.25">
      <c r="A9" s="23">
        <v>8</v>
      </c>
      <c r="B9" s="4">
        <v>48213.7</v>
      </c>
      <c r="C9" s="3">
        <v>365</v>
      </c>
      <c r="D9" s="5">
        <v>1292588003.0471601</v>
      </c>
      <c r="E9" s="6">
        <v>11421363441.576965</v>
      </c>
      <c r="F9" s="7">
        <v>422549311.04839212</v>
      </c>
      <c r="G9" s="8">
        <v>6672012912.0618954</v>
      </c>
      <c r="H9" s="9">
        <v>23845401.489999998</v>
      </c>
      <c r="I9" s="10">
        <v>7830455.1551999999</v>
      </c>
      <c r="J9" s="11">
        <v>39308.38521609384</v>
      </c>
      <c r="K9" s="12">
        <v>4124286.5882647559</v>
      </c>
      <c r="L9" s="13">
        <v>14817112</v>
      </c>
      <c r="M9" s="14">
        <v>0.6518743770712675</v>
      </c>
      <c r="N9" s="15">
        <v>0.71145066499738041</v>
      </c>
      <c r="O9" s="16">
        <v>1292588003.0471601</v>
      </c>
      <c r="P9" s="17">
        <v>7884</v>
      </c>
      <c r="Q9" s="18">
        <v>7872.4489048999994</v>
      </c>
      <c r="R9" s="19">
        <v>3187200</v>
      </c>
      <c r="S9" s="20">
        <v>2.4568446144578311</v>
      </c>
    </row>
    <row r="10" spans="1:19" x14ac:dyDescent="0.25">
      <c r="A10" s="23">
        <v>9</v>
      </c>
      <c r="B10" s="4">
        <v>48578.7</v>
      </c>
      <c r="C10" s="3">
        <v>365</v>
      </c>
      <c r="D10" s="5">
        <v>1227860632.2139797</v>
      </c>
      <c r="E10" s="6">
        <v>12649224073.790945</v>
      </c>
      <c r="F10" s="7">
        <v>349034624.96228433</v>
      </c>
      <c r="G10" s="8">
        <v>7021047537.0241804</v>
      </c>
      <c r="H10" s="9">
        <v>23845401.489999998</v>
      </c>
      <c r="I10" s="10">
        <v>7248575.4603600008</v>
      </c>
      <c r="J10" s="11">
        <v>35823.742419188755</v>
      </c>
      <c r="K10" s="12">
        <v>4046117.0591642638</v>
      </c>
      <c r="L10" s="13">
        <v>14817112</v>
      </c>
      <c r="M10" s="14">
        <v>0.60978066966761679</v>
      </c>
      <c r="N10" s="15">
        <v>0.73641760704283632</v>
      </c>
      <c r="O10" s="16">
        <v>1227860632.2139797</v>
      </c>
      <c r="P10" s="17">
        <v>7884</v>
      </c>
      <c r="Q10" s="18">
        <v>7878.858692924</v>
      </c>
      <c r="R10" s="19">
        <v>3115200</v>
      </c>
      <c r="S10" s="20">
        <v>2.3268411210708781</v>
      </c>
    </row>
    <row r="11" spans="1:19" x14ac:dyDescent="0.25">
      <c r="A11" s="23">
        <v>10</v>
      </c>
      <c r="B11" s="4">
        <v>48943.7</v>
      </c>
      <c r="C11" s="3">
        <v>365</v>
      </c>
      <c r="D11" s="5">
        <v>1093809063.8897002</v>
      </c>
      <c r="E11" s="6">
        <v>13743033137.680643</v>
      </c>
      <c r="F11" s="7">
        <v>270372872.01100874</v>
      </c>
      <c r="G11" s="8">
        <v>7291420409.0351896</v>
      </c>
      <c r="H11" s="9">
        <v>23845401.489999998</v>
      </c>
      <c r="I11" s="10">
        <v>6684854.8440000005</v>
      </c>
      <c r="J11" s="11">
        <v>31807.623747951606</v>
      </c>
      <c r="K11" s="12">
        <v>3038272.7524359599</v>
      </c>
      <c r="L11" s="13">
        <v>14817112</v>
      </c>
      <c r="M11" s="14">
        <v>0.57197778809546462</v>
      </c>
      <c r="N11" s="15">
        <v>0.6029573860684192</v>
      </c>
      <c r="O11" s="16">
        <v>1093809063.8897002</v>
      </c>
      <c r="P11" s="17">
        <v>7884</v>
      </c>
      <c r="Q11" s="18">
        <v>7882.08219113</v>
      </c>
      <c r="R11" s="19">
        <v>2768400</v>
      </c>
      <c r="S11" s="20">
        <v>2.4146997702644128</v>
      </c>
    </row>
    <row r="12" spans="1:19" x14ac:dyDescent="0.25">
      <c r="A12" s="23">
        <v>11</v>
      </c>
      <c r="B12" s="4">
        <v>49308.7</v>
      </c>
      <c r="C12" s="3">
        <v>365</v>
      </c>
      <c r="D12" s="5">
        <v>1073190121.51213</v>
      </c>
      <c r="E12" s="6">
        <v>14816223259.192772</v>
      </c>
      <c r="F12" s="7">
        <v>230674943.30336121</v>
      </c>
      <c r="G12" s="8">
        <v>7522095352.3385506</v>
      </c>
      <c r="H12" s="9">
        <v>23845401.489999998</v>
      </c>
      <c r="I12" s="10">
        <v>9670469.9901324008</v>
      </c>
      <c r="J12" s="11">
        <v>31262.458952863795</v>
      </c>
      <c r="K12" s="12">
        <v>3491363.83551346</v>
      </c>
      <c r="L12" s="13">
        <v>14817112</v>
      </c>
      <c r="M12" s="14">
        <v>0.53335532754838111</v>
      </c>
      <c r="N12" s="15">
        <v>0.70566567386924361</v>
      </c>
      <c r="O12" s="16">
        <v>1073190121.51213</v>
      </c>
      <c r="P12" s="17">
        <v>7884</v>
      </c>
      <c r="Q12" s="18">
        <v>7883.1118072100007</v>
      </c>
      <c r="R12" s="19">
        <v>3990800</v>
      </c>
      <c r="S12" s="20">
        <v>2.4231908364569512</v>
      </c>
    </row>
    <row r="13" spans="1:19" x14ac:dyDescent="0.25">
      <c r="A13" s="23">
        <v>12</v>
      </c>
      <c r="B13" s="4">
        <v>49673.7</v>
      </c>
      <c r="C13" s="3">
        <v>365</v>
      </c>
      <c r="D13" s="5">
        <v>1053533224.5533998</v>
      </c>
      <c r="E13" s="6">
        <v>15869756483.746168</v>
      </c>
      <c r="F13" s="7">
        <v>196912892.62824497</v>
      </c>
      <c r="G13" s="8">
        <v>7719008244.966795</v>
      </c>
      <c r="H13" s="9">
        <v>23845401.489999998</v>
      </c>
      <c r="I13" s="10">
        <v>8901840.2243760005</v>
      </c>
      <c r="J13" s="11">
        <v>29221.74539451228</v>
      </c>
      <c r="K13" s="12">
        <v>3780685.5366572142</v>
      </c>
      <c r="L13" s="13">
        <v>14817112</v>
      </c>
      <c r="M13" s="14">
        <v>0.50951387275847548</v>
      </c>
      <c r="N13" s="15">
        <v>0.69014410955343874</v>
      </c>
      <c r="O13" s="16">
        <v>1053533224.5533998</v>
      </c>
      <c r="P13" s="17">
        <v>7884</v>
      </c>
      <c r="Q13" s="18">
        <v>7878.8350545759986</v>
      </c>
      <c r="R13" s="19">
        <v>4055200</v>
      </c>
      <c r="S13" s="20">
        <v>2.1951667548767015</v>
      </c>
    </row>
    <row r="14" spans="1:19" x14ac:dyDescent="0.25">
      <c r="A14" s="23">
        <v>13</v>
      </c>
      <c r="B14" s="4">
        <v>50038.7</v>
      </c>
      <c r="C14" s="3">
        <v>365</v>
      </c>
      <c r="D14" s="5">
        <v>1005213530.7443002</v>
      </c>
      <c r="E14" s="6">
        <v>16874970014.490469</v>
      </c>
      <c r="F14" s="7">
        <v>163375301.18303809</v>
      </c>
      <c r="G14" s="8">
        <v>7882383546.1498327</v>
      </c>
      <c r="H14" s="9">
        <v>23845401.489999998</v>
      </c>
      <c r="I14" s="10">
        <v>10219248.936799999</v>
      </c>
      <c r="J14" s="11">
        <v>37896.188328434</v>
      </c>
      <c r="K14" s="12">
        <v>3245777.5244307923</v>
      </c>
      <c r="L14" s="13">
        <v>14817112</v>
      </c>
      <c r="M14" s="14">
        <v>0.55138854282085759</v>
      </c>
      <c r="N14" s="15">
        <v>0.5179309875694329</v>
      </c>
      <c r="O14" s="16">
        <v>1005213530.7443002</v>
      </c>
      <c r="P14" s="17">
        <v>7884</v>
      </c>
      <c r="Q14" s="18">
        <v>7880.3995130100011</v>
      </c>
      <c r="R14" s="19">
        <v>4519200</v>
      </c>
      <c r="S14" s="20">
        <v>2.2612960118605065</v>
      </c>
    </row>
    <row r="15" spans="1:19" x14ac:dyDescent="0.25">
      <c r="A15" s="23">
        <v>14</v>
      </c>
      <c r="B15" s="4">
        <v>50403.7</v>
      </c>
      <c r="C15" s="3">
        <v>365</v>
      </c>
      <c r="D15" s="5">
        <v>876055654.60516012</v>
      </c>
      <c r="E15" s="6">
        <v>17751025669.095627</v>
      </c>
      <c r="F15" s="7">
        <v>123811769.98651402</v>
      </c>
      <c r="G15" s="8">
        <v>8006195316.1363478</v>
      </c>
      <c r="H15" s="9">
        <v>23845401.489999998</v>
      </c>
      <c r="I15" s="10">
        <v>9633891.4778135978</v>
      </c>
      <c r="J15" s="11">
        <v>30036.2775408948</v>
      </c>
      <c r="K15" s="12">
        <v>2587168.2344577601</v>
      </c>
      <c r="L15" s="13">
        <v>14817112</v>
      </c>
      <c r="M15" s="14">
        <v>0.46789298252861883</v>
      </c>
      <c r="N15" s="15">
        <v>0.47979106857177395</v>
      </c>
      <c r="O15" s="16">
        <v>876055654.60516012</v>
      </c>
      <c r="P15" s="17">
        <v>7884</v>
      </c>
      <c r="Q15" s="18">
        <v>7864.5176117200017</v>
      </c>
      <c r="R15" s="19">
        <v>4062000</v>
      </c>
      <c r="S15" s="20">
        <v>2.3717113436271786</v>
      </c>
    </row>
    <row r="16" spans="1:19" x14ac:dyDescent="0.25">
      <c r="A16" s="23">
        <v>15</v>
      </c>
      <c r="B16" s="4">
        <v>50768.7</v>
      </c>
      <c r="C16" s="3">
        <v>365</v>
      </c>
      <c r="D16" s="5">
        <v>863643806.17254996</v>
      </c>
      <c r="E16" s="6">
        <v>18614669475.268173</v>
      </c>
      <c r="F16" s="7">
        <v>106137060.96035294</v>
      </c>
      <c r="G16" s="8">
        <v>8112332377.0966997</v>
      </c>
      <c r="H16" s="9">
        <v>23845401.489999998</v>
      </c>
      <c r="I16" s="10">
        <v>10996640.316359999</v>
      </c>
      <c r="J16" s="11">
        <v>31288.22678198868</v>
      </c>
      <c r="K16" s="12">
        <v>3493181.5711282315</v>
      </c>
      <c r="L16" s="13">
        <v>14817112</v>
      </c>
      <c r="M16" s="14">
        <v>0.46192723476282238</v>
      </c>
      <c r="N16" s="15">
        <v>0.60238083013724941</v>
      </c>
      <c r="O16" s="16">
        <v>863643806.17254996</v>
      </c>
      <c r="P16" s="17">
        <v>7884</v>
      </c>
      <c r="Q16" s="18">
        <v>7877.1838377470012</v>
      </c>
      <c r="R16" s="19">
        <v>5185200</v>
      </c>
      <c r="S16" s="20">
        <v>2.1207745730849337</v>
      </c>
    </row>
    <row r="17" spans="1:19" x14ac:dyDescent="0.25">
      <c r="A17" s="23">
        <v>16</v>
      </c>
      <c r="B17" s="4">
        <v>51133.7</v>
      </c>
      <c r="C17" s="3">
        <v>365</v>
      </c>
      <c r="D17" s="5">
        <v>813167585.45313013</v>
      </c>
      <c r="E17" s="6">
        <v>19427837060.721306</v>
      </c>
      <c r="F17" s="7">
        <v>86898966.782546878</v>
      </c>
      <c r="G17" s="8">
        <v>8199231343.8792458</v>
      </c>
      <c r="H17" s="9">
        <v>23845401.489999998</v>
      </c>
      <c r="I17" s="10">
        <v>11169434.997450201</v>
      </c>
      <c r="J17" s="11">
        <v>29495.685307765798</v>
      </c>
      <c r="K17" s="12">
        <v>2452804.2223335002</v>
      </c>
      <c r="L17" s="13">
        <v>14817112</v>
      </c>
      <c r="M17" s="14">
        <v>0.4427015308477581</v>
      </c>
      <c r="N17" s="15">
        <v>0.4091240700912912</v>
      </c>
      <c r="O17" s="16">
        <v>813167585.45313013</v>
      </c>
      <c r="P17" s="17">
        <v>7884</v>
      </c>
      <c r="Q17" s="18">
        <v>7873.6313867499994</v>
      </c>
      <c r="R17" s="19">
        <v>4748800</v>
      </c>
      <c r="S17" s="20">
        <v>2.3520542026301809</v>
      </c>
    </row>
    <row r="18" spans="1:19" x14ac:dyDescent="0.25">
      <c r="A18" s="23">
        <v>17</v>
      </c>
      <c r="B18" s="4">
        <v>51498.7</v>
      </c>
      <c r="C18" s="3">
        <v>365</v>
      </c>
      <c r="D18" s="5">
        <v>697587202.43534994</v>
      </c>
      <c r="E18" s="6">
        <v>20125424263.156658</v>
      </c>
      <c r="F18" s="7">
        <v>64823909.360395655</v>
      </c>
      <c r="G18" s="8">
        <v>8264055253.2396412</v>
      </c>
      <c r="H18" s="9">
        <v>23845401.489999998</v>
      </c>
      <c r="I18" s="10">
        <v>11866578.588619199</v>
      </c>
      <c r="J18" s="11">
        <v>29875.584281166601</v>
      </c>
      <c r="K18" s="12">
        <v>2377486.2527812193</v>
      </c>
      <c r="L18" s="13">
        <v>14817112</v>
      </c>
      <c r="M18" s="14">
        <v>0.42735805374087482</v>
      </c>
      <c r="N18" s="15">
        <v>0.44182203060610648</v>
      </c>
      <c r="O18" s="16">
        <v>697587202.43534994</v>
      </c>
      <c r="P18" s="17">
        <v>7884</v>
      </c>
      <c r="Q18" s="18">
        <v>7868.9673365099979</v>
      </c>
      <c r="R18" s="19">
        <v>5430200</v>
      </c>
      <c r="S18" s="20">
        <v>2.1852930994473865</v>
      </c>
    </row>
    <row r="19" spans="1:19" x14ac:dyDescent="0.25">
      <c r="A19" s="23">
        <v>18</v>
      </c>
      <c r="B19" s="4">
        <v>51863.7</v>
      </c>
      <c r="C19" s="3">
        <v>365</v>
      </c>
      <c r="D19" s="5">
        <v>646720395.63944006</v>
      </c>
      <c r="E19" s="6">
        <v>20772144658.796101</v>
      </c>
      <c r="F19" s="7">
        <v>52258318.463976696</v>
      </c>
      <c r="G19" s="8">
        <v>8316313571.7036171</v>
      </c>
      <c r="H19" s="9">
        <v>23845401.489999998</v>
      </c>
      <c r="I19" s="10">
        <v>12134274.351730401</v>
      </c>
      <c r="J19" s="11">
        <v>25969.218747850799</v>
      </c>
      <c r="K19" s="12">
        <v>2085484.1370692404</v>
      </c>
      <c r="L19" s="13">
        <v>14817112</v>
      </c>
      <c r="M19" s="14">
        <v>0.41928295107844288</v>
      </c>
      <c r="N19" s="15">
        <v>0.33405118356695751</v>
      </c>
      <c r="O19" s="16">
        <v>646720395.63944006</v>
      </c>
      <c r="P19" s="17">
        <v>7884</v>
      </c>
      <c r="Q19" s="18">
        <v>7874.6564619199999</v>
      </c>
      <c r="R19" s="19">
        <v>5485600</v>
      </c>
      <c r="S19" s="20">
        <v>2.2120231791837539</v>
      </c>
    </row>
    <row r="20" spans="1:19" x14ac:dyDescent="0.25">
      <c r="A20" s="23">
        <v>19</v>
      </c>
      <c r="B20" s="4">
        <v>52228.7</v>
      </c>
      <c r="C20" s="3">
        <v>365</v>
      </c>
      <c r="D20" s="5">
        <v>630448452.19800007</v>
      </c>
      <c r="E20" s="6">
        <v>21402593110.994106</v>
      </c>
      <c r="F20" s="7">
        <v>44298662.729978479</v>
      </c>
      <c r="G20" s="8">
        <v>8360612234.4335957</v>
      </c>
      <c r="H20" s="9">
        <v>23845401.489999998</v>
      </c>
      <c r="I20" s="10">
        <v>10322127.270559201</v>
      </c>
      <c r="J20" s="11">
        <v>25851.934259411042</v>
      </c>
      <c r="K20" s="12">
        <v>2097004.7333519279</v>
      </c>
      <c r="L20" s="13">
        <v>14817112</v>
      </c>
      <c r="M20" s="14">
        <v>0.40687677641737907</v>
      </c>
      <c r="N20" s="15">
        <v>0.35689721987490519</v>
      </c>
      <c r="O20" s="16">
        <v>630448452.19800007</v>
      </c>
      <c r="P20" s="17">
        <v>7884</v>
      </c>
      <c r="Q20" s="18">
        <v>7870.8492359780003</v>
      </c>
      <c r="R20" s="19">
        <v>4849199.9999999963</v>
      </c>
      <c r="S20" s="20">
        <v>2.1286247773981701</v>
      </c>
    </row>
    <row r="21" spans="1:19" x14ac:dyDescent="0.25">
      <c r="A21" s="23">
        <v>20</v>
      </c>
      <c r="B21" s="4">
        <v>52593.7</v>
      </c>
      <c r="C21" s="3">
        <v>365</v>
      </c>
      <c r="D21" s="5">
        <v>574627267.44686997</v>
      </c>
      <c r="E21" s="6">
        <v>21977220378.440975</v>
      </c>
      <c r="F21" s="7">
        <v>35109886.327851616</v>
      </c>
      <c r="G21" s="8">
        <v>8395722120.761446</v>
      </c>
      <c r="H21" s="9">
        <v>23845401.489999998</v>
      </c>
      <c r="I21" s="10">
        <v>12025608.097120002</v>
      </c>
      <c r="J21" s="11">
        <v>28259.828185805836</v>
      </c>
      <c r="K21" s="12">
        <v>2265527.4332805914</v>
      </c>
      <c r="L21" s="13">
        <v>14817112</v>
      </c>
      <c r="M21" s="14">
        <v>0.40178357343919163</v>
      </c>
      <c r="N21" s="15">
        <v>0.33514054532828225</v>
      </c>
      <c r="O21" s="16">
        <v>574627267.44686997</v>
      </c>
      <c r="P21" s="17">
        <v>7884</v>
      </c>
      <c r="Q21" s="18">
        <v>7875.4588860739996</v>
      </c>
      <c r="R21" s="19">
        <v>5694000</v>
      </c>
      <c r="S21" s="20">
        <v>2.1119789422409552</v>
      </c>
    </row>
    <row r="22" spans="1:19" x14ac:dyDescent="0.25">
      <c r="A22" s="23">
        <v>21</v>
      </c>
      <c r="B22" s="4">
        <v>52958.7</v>
      </c>
      <c r="C22" s="3">
        <v>365</v>
      </c>
      <c r="D22" s="5">
        <v>620248721.79703009</v>
      </c>
      <c r="E22" s="6">
        <v>22597469100.238007</v>
      </c>
      <c r="F22" s="7">
        <v>32954234.708104454</v>
      </c>
      <c r="G22" s="8">
        <v>8428676355.469553</v>
      </c>
      <c r="H22" s="9">
        <v>23845401.489999998</v>
      </c>
      <c r="I22" s="10">
        <v>9785584.4521200024</v>
      </c>
      <c r="J22" s="11">
        <v>23092.565215507446</v>
      </c>
      <c r="K22" s="12">
        <v>2698918.9881884283</v>
      </c>
      <c r="L22" s="13">
        <v>14817112</v>
      </c>
      <c r="M22" s="14">
        <v>0.34397062902680076</v>
      </c>
      <c r="N22" s="15">
        <v>0.59398453656473083</v>
      </c>
      <c r="O22" s="16">
        <v>620248721.79703009</v>
      </c>
      <c r="P22" s="17">
        <v>7884</v>
      </c>
      <c r="Q22" s="18">
        <v>7873.0926006900017</v>
      </c>
      <c r="R22" s="19">
        <v>4168600</v>
      </c>
      <c r="S22" s="20">
        <v>2.3474510512210336</v>
      </c>
    </row>
    <row r="23" spans="1:19" x14ac:dyDescent="0.25">
      <c r="A23" s="23">
        <v>22</v>
      </c>
      <c r="B23" s="4">
        <v>53323.7</v>
      </c>
      <c r="C23" s="3">
        <v>365</v>
      </c>
      <c r="D23" s="5">
        <v>515220970.07843006</v>
      </c>
      <c r="E23" s="6">
        <v>23112690070.316441</v>
      </c>
      <c r="F23" s="7">
        <v>23803512.278120603</v>
      </c>
      <c r="G23" s="8">
        <v>8452479867.7476721</v>
      </c>
      <c r="H23" s="9">
        <v>23845401.489999998</v>
      </c>
      <c r="I23" s="10">
        <v>11827875.231827185</v>
      </c>
      <c r="J23" s="11">
        <v>23509.068651708603</v>
      </c>
      <c r="K23" s="12">
        <v>2288418.0288304798</v>
      </c>
      <c r="L23" s="13">
        <v>14817112</v>
      </c>
      <c r="M23" s="14">
        <v>0.31675139693248766</v>
      </c>
      <c r="N23" s="15">
        <v>0.41034199862213161</v>
      </c>
      <c r="O23" s="16">
        <v>515220970.07843006</v>
      </c>
      <c r="P23" s="17">
        <v>7884</v>
      </c>
      <c r="Q23" s="18">
        <v>7882.3877410699997</v>
      </c>
      <c r="R23" s="19">
        <v>5133599.9999999925</v>
      </c>
      <c r="S23" s="20">
        <v>2.3040118497403776</v>
      </c>
    </row>
    <row r="24" spans="1:19" x14ac:dyDescent="0.25">
      <c r="A24" s="23">
        <v>23</v>
      </c>
      <c r="B24" s="4">
        <v>53688.7</v>
      </c>
      <c r="C24" s="3">
        <v>365</v>
      </c>
      <c r="D24" s="5">
        <v>557902038.3046701</v>
      </c>
      <c r="E24" s="6">
        <v>23670592108.621124</v>
      </c>
      <c r="F24" s="7">
        <v>22413393.712118708</v>
      </c>
      <c r="G24" s="8">
        <v>8474893261.4597921</v>
      </c>
      <c r="H24" s="9">
        <v>23845401.489999998</v>
      </c>
      <c r="I24" s="10">
        <v>10225886.121200003</v>
      </c>
      <c r="J24" s="11">
        <v>21446.727710752159</v>
      </c>
      <c r="K24" s="12">
        <v>2129758.3885606048</v>
      </c>
      <c r="L24" s="13">
        <v>14817112</v>
      </c>
      <c r="M24" s="14">
        <v>0.30994475722430209</v>
      </c>
      <c r="N24" s="15">
        <v>0.33050567303404038</v>
      </c>
      <c r="O24" s="16">
        <v>557902038.3046701</v>
      </c>
      <c r="P24" s="17">
        <v>7884</v>
      </c>
      <c r="Q24" s="18">
        <v>7882.9335771090018</v>
      </c>
      <c r="R24" s="19">
        <v>4674600</v>
      </c>
      <c r="S24" s="20">
        <v>2.1875424894536435</v>
      </c>
    </row>
    <row r="25" spans="1:19" x14ac:dyDescent="0.25">
      <c r="A25" s="23">
        <v>24</v>
      </c>
      <c r="B25" s="4">
        <v>54053.7</v>
      </c>
      <c r="C25" s="3">
        <v>365</v>
      </c>
      <c r="D25" s="5">
        <v>479716442.10545003</v>
      </c>
      <c r="E25" s="6">
        <v>24150308550.726574</v>
      </c>
      <c r="F25" s="7">
        <v>16758549.847956661</v>
      </c>
      <c r="G25" s="8">
        <v>8491651811.3077488</v>
      </c>
      <c r="H25" s="9">
        <v>23845401.489999998</v>
      </c>
      <c r="I25" s="10">
        <v>10471792.492000002</v>
      </c>
      <c r="J25" s="11">
        <v>20203.179310133157</v>
      </c>
      <c r="K25" s="12">
        <v>1871458.9048079802</v>
      </c>
      <c r="L25" s="13">
        <v>14817112</v>
      </c>
      <c r="M25" s="14">
        <v>0.32551422815607023</v>
      </c>
      <c r="N25" s="15">
        <v>0.3162466122539222</v>
      </c>
      <c r="O25" s="16">
        <v>479716442.10545003</v>
      </c>
      <c r="P25" s="17">
        <v>7884</v>
      </c>
      <c r="Q25" s="18">
        <v>7876.1903512130002</v>
      </c>
      <c r="R25" s="19">
        <v>4471600</v>
      </c>
      <c r="S25" s="20">
        <v>2.341844639949906</v>
      </c>
    </row>
    <row r="26" spans="1:19" x14ac:dyDescent="0.25">
      <c r="A26" s="23">
        <v>25</v>
      </c>
      <c r="B26" s="4">
        <v>54418.7</v>
      </c>
      <c r="C26" s="3">
        <v>365</v>
      </c>
      <c r="D26" s="5">
        <v>496310151.20745993</v>
      </c>
      <c r="E26" s="6">
        <v>24646618701.934025</v>
      </c>
      <c r="F26" s="7">
        <v>15076729.716761943</v>
      </c>
      <c r="G26" s="8">
        <v>8506728541.0245123</v>
      </c>
      <c r="H26" s="9">
        <v>23845401.489999998</v>
      </c>
      <c r="I26" s="10">
        <v>9329585.8235999998</v>
      </c>
      <c r="J26" s="11">
        <v>20360.725644267844</v>
      </c>
      <c r="K26" s="12">
        <v>2142406.0404845285</v>
      </c>
      <c r="L26" s="13">
        <v>14817112</v>
      </c>
      <c r="M26" s="14">
        <v>0.30821926513555659</v>
      </c>
      <c r="N26" s="15">
        <v>0.32996746066889848</v>
      </c>
      <c r="O26" s="16">
        <v>496310151.20745993</v>
      </c>
      <c r="P26" s="17">
        <v>7884</v>
      </c>
      <c r="Q26" s="18">
        <v>7880.9061969000004</v>
      </c>
      <c r="R26" s="19">
        <v>3883200</v>
      </c>
      <c r="S26" s="20">
        <v>2.402550943448702</v>
      </c>
    </row>
    <row r="27" spans="1:19" x14ac:dyDescent="0.25">
      <c r="A27" s="23">
        <v>26</v>
      </c>
      <c r="B27" s="4">
        <v>54783.7</v>
      </c>
      <c r="C27" s="3">
        <v>365</v>
      </c>
      <c r="D27" s="5">
        <v>413183274.82076997</v>
      </c>
      <c r="E27" s="6">
        <v>25059801976.754799</v>
      </c>
      <c r="F27" s="7">
        <v>10914375.324808568</v>
      </c>
      <c r="G27" s="8">
        <v>8517642916.3493223</v>
      </c>
      <c r="H27" s="9">
        <v>23845401.489999998</v>
      </c>
      <c r="I27" s="10">
        <v>8799496.1821200009</v>
      </c>
      <c r="J27" s="11">
        <v>11795.106338893684</v>
      </c>
      <c r="K27" s="12">
        <v>1481380.8229587236</v>
      </c>
      <c r="L27" s="13">
        <v>14817112</v>
      </c>
      <c r="M27" s="14">
        <v>0.19004529909793061</v>
      </c>
      <c r="N27" s="15">
        <v>0.31422592014574002</v>
      </c>
      <c r="O27" s="16">
        <v>413183274.82076997</v>
      </c>
      <c r="P27" s="17">
        <v>7884</v>
      </c>
      <c r="Q27" s="18">
        <v>7877.4287038070006</v>
      </c>
      <c r="R27" s="19">
        <v>4074000</v>
      </c>
      <c r="S27" s="20">
        <v>2.1599156068041241</v>
      </c>
    </row>
    <row r="28" spans="1:19" x14ac:dyDescent="0.25">
      <c r="A28" s="23">
        <v>27</v>
      </c>
      <c r="B28" s="4">
        <v>55148.7</v>
      </c>
      <c r="C28" s="3">
        <v>365</v>
      </c>
      <c r="D28" s="5">
        <v>409824943.55094004</v>
      </c>
      <c r="E28" s="6">
        <v>25469626920.305737</v>
      </c>
      <c r="F28" s="7">
        <v>9413620.7596111204</v>
      </c>
      <c r="G28" s="8">
        <v>8527056537.1089325</v>
      </c>
      <c r="H28" s="9">
        <v>23845401.489999998</v>
      </c>
      <c r="I28" s="10">
        <v>8372891.1460000006</v>
      </c>
      <c r="J28" s="11">
        <v>14098.089806437561</v>
      </c>
      <c r="K28" s="12">
        <v>1899252.3996521519</v>
      </c>
      <c r="L28" s="13">
        <v>14817112</v>
      </c>
      <c r="M28" s="14">
        <v>0.25501797896148076</v>
      </c>
      <c r="N28" s="15">
        <v>0.41278263574900803</v>
      </c>
      <c r="O28" s="16">
        <v>409824943.55094004</v>
      </c>
      <c r="P28" s="17">
        <v>7884</v>
      </c>
      <c r="Q28" s="18">
        <v>7857.028208779001</v>
      </c>
      <c r="R28" s="19">
        <v>3684400</v>
      </c>
      <c r="S28" s="20">
        <v>2.2725250097709262</v>
      </c>
    </row>
    <row r="29" spans="1:19" x14ac:dyDescent="0.25">
      <c r="A29" s="23">
        <v>28</v>
      </c>
      <c r="B29" s="4">
        <v>55513.7</v>
      </c>
      <c r="C29" s="3">
        <v>365</v>
      </c>
      <c r="D29" s="5">
        <v>311283061.85792994</v>
      </c>
      <c r="E29" s="6">
        <v>25780909982.163677</v>
      </c>
      <c r="F29" s="7">
        <v>6217502.3736835998</v>
      </c>
      <c r="G29" s="8">
        <v>8533274039.4826164</v>
      </c>
      <c r="H29" s="9">
        <v>23845401.489999998</v>
      </c>
      <c r="I29" s="10">
        <v>10840495.972345999</v>
      </c>
      <c r="J29" s="11">
        <v>13892.505085172043</v>
      </c>
      <c r="K29" s="12">
        <v>1383734.982655196</v>
      </c>
      <c r="L29" s="13">
        <v>14817112</v>
      </c>
      <c r="M29" s="14">
        <v>0.2691032172270319</v>
      </c>
      <c r="N29" s="15">
        <v>0.32055064703964337</v>
      </c>
      <c r="O29" s="16">
        <v>311283061.85792994</v>
      </c>
      <c r="P29" s="17">
        <v>7884</v>
      </c>
      <c r="Q29" s="18">
        <v>7880.992002072001</v>
      </c>
      <c r="R29" s="19">
        <v>4889600</v>
      </c>
      <c r="S29" s="20">
        <v>2.2170516959150031</v>
      </c>
    </row>
    <row r="30" spans="1:19" x14ac:dyDescent="0.25">
      <c r="A30" s="23">
        <v>29</v>
      </c>
      <c r="B30" s="4">
        <v>55878.7</v>
      </c>
      <c r="C30" s="3">
        <v>365</v>
      </c>
      <c r="D30" s="5">
        <v>255453546.88753</v>
      </c>
      <c r="E30" s="6">
        <v>26036363529.051201</v>
      </c>
      <c r="F30" s="7">
        <v>4436848.1651932625</v>
      </c>
      <c r="G30" s="8">
        <v>8537710887.6478109</v>
      </c>
      <c r="H30" s="9">
        <v>23845401.489999998</v>
      </c>
      <c r="I30" s="10">
        <v>13516208.193799989</v>
      </c>
      <c r="J30" s="11">
        <v>10451.42093800536</v>
      </c>
      <c r="K30" s="12">
        <v>1034102.6411233561</v>
      </c>
      <c r="L30" s="13">
        <v>14817112</v>
      </c>
      <c r="M30" s="14">
        <v>0.1359081819178648</v>
      </c>
      <c r="N30" s="15">
        <v>0.13221567693716649</v>
      </c>
      <c r="O30" s="16">
        <v>255453546.88753</v>
      </c>
      <c r="P30" s="17">
        <v>7884</v>
      </c>
      <c r="Q30" s="18">
        <v>7882.4936048610016</v>
      </c>
      <c r="R30" s="19">
        <v>6260199.9999999963</v>
      </c>
      <c r="S30" s="20">
        <v>2.159069709242516</v>
      </c>
    </row>
    <row r="31" spans="1:19" x14ac:dyDescent="0.25">
      <c r="A31" s="23">
        <v>30</v>
      </c>
      <c r="B31" s="4">
        <v>56243.7</v>
      </c>
      <c r="C31" s="3">
        <v>365</v>
      </c>
      <c r="D31" s="5">
        <v>42721401.065059997</v>
      </c>
      <c r="E31" s="6">
        <v>26079084930.116261</v>
      </c>
      <c r="F31" s="7">
        <v>645223.6483407038</v>
      </c>
      <c r="G31" s="8">
        <v>8538356111.2961512</v>
      </c>
      <c r="H31" s="9">
        <v>23845401.489999998</v>
      </c>
      <c r="I31" s="10">
        <v>10718030.983687798</v>
      </c>
      <c r="J31" s="11">
        <v>7536.2483275924005</v>
      </c>
      <c r="K31" s="12">
        <v>594780.44163001992</v>
      </c>
      <c r="L31" s="13">
        <v>14817112</v>
      </c>
      <c r="M31" s="14">
        <v>0.56017982866533178</v>
      </c>
      <c r="N31" s="15">
        <v>0.3848670884581753</v>
      </c>
      <c r="O31" s="16">
        <v>42721401.065059997</v>
      </c>
      <c r="P31" s="17">
        <v>7884</v>
      </c>
      <c r="Q31" s="18">
        <v>2752.2791072800001</v>
      </c>
      <c r="R31" s="19">
        <v>5256000</v>
      </c>
      <c r="S31" s="20">
        <v>2.0391991978097028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RAF_1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Raquel Xavier</cp:lastModifiedBy>
  <dcterms:modified xsi:type="dcterms:W3CDTF">2024-06-05T21:55:09Z</dcterms:modified>
</cp:coreProperties>
</file>